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9AF7F3BC29A7434/Desktop/Assignments/Excel assignments/"/>
    </mc:Choice>
  </mc:AlternateContent>
  <xr:revisionPtr revIDLastSave="103" documentId="8_{BBCBBF8A-C848-4887-A65A-16AF7A704FBE}" xr6:coauthVersionLast="47" xr6:coauthVersionMax="47" xr10:uidLastSave="{DAED9242-07E3-47CF-B8D8-85598AD62167}"/>
  <bookViews>
    <workbookView xWindow="-108" yWindow="-108" windowWidth="23256" windowHeight="12456" xr2:uid="{00000000-000D-0000-FFFF-FFFF00000000}"/>
  </bookViews>
  <sheets>
    <sheet name="RawCustomerSales" sheetId="4" r:id="rId1"/>
    <sheet name="Raw_Data" sheetId="1" r:id="rId2"/>
  </sheets>
  <definedNames>
    <definedName name="ExternalData_1" localSheetId="0" hidden="1">'RawCustomerSales'!$A$1:$W$51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0" i="4" l="1"/>
  <c r="AA9" i="4"/>
  <c r="AA6" i="4"/>
  <c r="AA11" i="4"/>
  <c r="AA8" i="4"/>
  <c r="AA7" i="4"/>
  <c r="AA5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3" i="4"/>
  <c r="E4" i="4"/>
  <c r="E5" i="4"/>
  <c r="E6" i="4"/>
  <c r="E7" i="4"/>
  <c r="E8" i="4"/>
  <c r="E2" i="4"/>
  <c r="G2" i="4"/>
  <c r="AA4" i="4"/>
  <c r="AA3" i="4"/>
  <c r="Y2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3" i="4"/>
  <c r="Y4" i="4"/>
  <c r="Y5" i="4"/>
  <c r="Y6" i="4"/>
  <c r="Y7" i="4"/>
  <c r="Y8" i="4"/>
  <c r="Y9" i="4"/>
  <c r="Y10" i="4"/>
  <c r="Y11" i="4"/>
  <c r="Y12" i="4"/>
  <c r="Y13" i="4"/>
  <c r="Y14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2" i="4"/>
  <c r="X3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2" i="4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10" i="4"/>
  <c r="Q11" i="4"/>
  <c r="Q12" i="4"/>
  <c r="Q13" i="4"/>
  <c r="Q14" i="4"/>
  <c r="Q15" i="4"/>
  <c r="Q3" i="4"/>
  <c r="Q4" i="4"/>
  <c r="Q5" i="4"/>
  <c r="Q6" i="4"/>
  <c r="Q7" i="4"/>
  <c r="Q8" i="4"/>
  <c r="Q9" i="4"/>
  <c r="Q2" i="4"/>
  <c r="O8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11" i="4"/>
  <c r="O12" i="4"/>
  <c r="O13" i="4"/>
  <c r="O14" i="4"/>
  <c r="O15" i="4"/>
  <c r="O16" i="4"/>
  <c r="O17" i="4"/>
  <c r="O18" i="4"/>
  <c r="O19" i="4"/>
  <c r="O20" i="4"/>
  <c r="O21" i="4"/>
  <c r="O3" i="4"/>
  <c r="O4" i="4"/>
  <c r="O5" i="4"/>
  <c r="O6" i="4"/>
  <c r="O7" i="4"/>
  <c r="O9" i="4"/>
  <c r="O10" i="4"/>
  <c r="O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2" i="4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D1C7DE-CF12-4CBD-BA64-086FAE24FE65}" keepAlive="1" name="Query - RawCustomerSales" description="Connection to the 'RawCustomerSales' query in the workbook." type="5" refreshedVersion="8" background="1" saveData="1">
    <dbPr connection="Provider=Microsoft.Mashup.OleDb.1;Data Source=$Workbook$;Location=RawCustomerSales;Extended Properties=&quot;&quot;" command="SELECT * FROM [RawCustomerSales]"/>
  </connection>
</connections>
</file>

<file path=xl/sharedStrings.xml><?xml version="1.0" encoding="utf-8"?>
<sst xmlns="http://schemas.openxmlformats.org/spreadsheetml/2006/main" count="1340" uniqueCount="426">
  <si>
    <t>Customer ID</t>
  </si>
  <si>
    <t>Customer Name</t>
  </si>
  <si>
    <t>Email</t>
  </si>
  <si>
    <t>Phone</t>
  </si>
  <si>
    <t>City</t>
  </si>
  <si>
    <t>Gender</t>
  </si>
  <si>
    <t>Product</t>
  </si>
  <si>
    <t>Category</t>
  </si>
  <si>
    <t>Quantity</t>
  </si>
  <si>
    <t>Unit Price</t>
  </si>
  <si>
    <t>Sales</t>
  </si>
  <si>
    <t>Discount</t>
  </si>
  <si>
    <t>Order Date</t>
  </si>
  <si>
    <t>Payment Mode</t>
  </si>
  <si>
    <t>Order Status</t>
  </si>
  <si>
    <t>C001</t>
  </si>
  <si>
    <t>Shiva Kumar</t>
  </si>
  <si>
    <t>shivakumar@gmail.com</t>
  </si>
  <si>
    <t>9000000001</t>
  </si>
  <si>
    <t>Hyderabad</t>
  </si>
  <si>
    <t>Male</t>
  </si>
  <si>
    <t>Laptop</t>
  </si>
  <si>
    <t>electronics</t>
  </si>
  <si>
    <t>02/01/2026</t>
  </si>
  <si>
    <t>UPI</t>
  </si>
  <si>
    <t>Delivered</t>
  </si>
  <si>
    <t>C002</t>
  </si>
  <si>
    <t xml:space="preserve">  Ravi Kumar </t>
  </si>
  <si>
    <t>ravikumar@gmail.com</t>
  </si>
  <si>
    <t>9000000002</t>
  </si>
  <si>
    <t>Bangalore</t>
  </si>
  <si>
    <t>male</t>
  </si>
  <si>
    <t>Mouse</t>
  </si>
  <si>
    <t>Accessories</t>
  </si>
  <si>
    <t>03-01-2026</t>
  </si>
  <si>
    <t>upi</t>
  </si>
  <si>
    <t>delivered</t>
  </si>
  <si>
    <t>C003</t>
  </si>
  <si>
    <t>priya reddy</t>
  </si>
  <si>
    <t>priyareddy@gmail.com</t>
  </si>
  <si>
    <t>9000000003</t>
  </si>
  <si>
    <t>CHENNAI</t>
  </si>
  <si>
    <t>MALE</t>
  </si>
  <si>
    <t>Keyboard</t>
  </si>
  <si>
    <t>accessories</t>
  </si>
  <si>
    <t>2026/01/04</t>
  </si>
  <si>
    <t>Cash</t>
  </si>
  <si>
    <t>DELIVERED</t>
  </si>
  <si>
    <t>C004</t>
  </si>
  <si>
    <t xml:space="preserve">Suresh  </t>
  </si>
  <si>
    <t>9000000004</t>
  </si>
  <si>
    <t>Anantapur</t>
  </si>
  <si>
    <t>M</t>
  </si>
  <si>
    <t>Monitor</t>
  </si>
  <si>
    <t>ELECTRONICS</t>
  </si>
  <si>
    <t>05/02/2026</t>
  </si>
  <si>
    <t>cash</t>
  </si>
  <si>
    <t>Pending</t>
  </si>
  <si>
    <t>C005</t>
  </si>
  <si>
    <t>anil kumar</t>
  </si>
  <si>
    <t>anilkumar@gmail.com</t>
  </si>
  <si>
    <t>9000000005</t>
  </si>
  <si>
    <t xml:space="preserve"> hyderabad </t>
  </si>
  <si>
    <t>Female</t>
  </si>
  <si>
    <t>Printer</t>
  </si>
  <si>
    <t>Electronics</t>
  </si>
  <si>
    <t>06/01/2026</t>
  </si>
  <si>
    <t>Card</t>
  </si>
  <si>
    <t>pending</t>
  </si>
  <si>
    <t>C006</t>
  </si>
  <si>
    <t>Lakshmi</t>
  </si>
  <si>
    <t>lakshmi@gmail.com</t>
  </si>
  <si>
    <t>9000000006</t>
  </si>
  <si>
    <t xml:space="preserve">Bangalore </t>
  </si>
  <si>
    <t>female</t>
  </si>
  <si>
    <t>Headphones</t>
  </si>
  <si>
    <t>07-01-2026</t>
  </si>
  <si>
    <t>CARD</t>
  </si>
  <si>
    <t>Cancelled</t>
  </si>
  <si>
    <t>C007</t>
  </si>
  <si>
    <t>RAHUL</t>
  </si>
  <si>
    <t>rahul@gmail.com</t>
  </si>
  <si>
    <t>98765 43210</t>
  </si>
  <si>
    <t>ANANTAPUR</t>
  </si>
  <si>
    <t>FEMALE</t>
  </si>
  <si>
    <t>2026/01/08</t>
  </si>
  <si>
    <t>Net Banking</t>
  </si>
  <si>
    <t>C008</t>
  </si>
  <si>
    <t xml:space="preserve">Meena </t>
  </si>
  <si>
    <t>meena@gmail.com</t>
  </si>
  <si>
    <t>9000000008</t>
  </si>
  <si>
    <t>F</t>
  </si>
  <si>
    <t>09/02/2026</t>
  </si>
  <si>
    <t>C009</t>
  </si>
  <si>
    <t xml:space="preserve">  Kiran</t>
  </si>
  <si>
    <t>kiran@gmail.com</t>
  </si>
  <si>
    <t>9000000009</t>
  </si>
  <si>
    <t>10/01/2026</t>
  </si>
  <si>
    <t>C010</t>
  </si>
  <si>
    <t>Arjun Rao</t>
  </si>
  <si>
    <t>arjunrao@gmail.com</t>
  </si>
  <si>
    <t>9000000010</t>
  </si>
  <si>
    <t>11-01-2026</t>
  </si>
  <si>
    <t>C011</t>
  </si>
  <si>
    <t>Sneha</t>
  </si>
  <si>
    <t>sneha@gmail.com</t>
  </si>
  <si>
    <t>9000000011</t>
  </si>
  <si>
    <t xml:space="preserve"> Printer </t>
  </si>
  <si>
    <t>2026/01/12</t>
  </si>
  <si>
    <t>C012</t>
  </si>
  <si>
    <t>Vijay</t>
  </si>
  <si>
    <t>9000000012</t>
  </si>
  <si>
    <t>13/02/2026</t>
  </si>
  <si>
    <t>C013</t>
  </si>
  <si>
    <t>Pooja</t>
  </si>
  <si>
    <t>pooja@gmail.com</t>
  </si>
  <si>
    <t>9000000013</t>
  </si>
  <si>
    <t>14/01/2026</t>
  </si>
  <si>
    <t>C014</t>
  </si>
  <si>
    <t>Ramesh</t>
  </si>
  <si>
    <t>ramesh@gmail.com</t>
  </si>
  <si>
    <t>9000000014</t>
  </si>
  <si>
    <t>15-01-2026</t>
  </si>
  <si>
    <t>C015</t>
  </si>
  <si>
    <t xml:space="preserve">  Kavya </t>
  </si>
  <si>
    <t>kavya@gmail.com</t>
  </si>
  <si>
    <t>9000000015</t>
  </si>
  <si>
    <t>2026/01/16</t>
  </si>
  <si>
    <t>C016</t>
  </si>
  <si>
    <t>Manoj</t>
  </si>
  <si>
    <t>manoj@gmail.com</t>
  </si>
  <si>
    <t>17/02/2026</t>
  </si>
  <si>
    <t>C017</t>
  </si>
  <si>
    <t>Deepa</t>
  </si>
  <si>
    <t>deepa@gmail.com</t>
  </si>
  <si>
    <t>9000000017</t>
  </si>
  <si>
    <t>18/01/2026</t>
  </si>
  <si>
    <t>C018</t>
  </si>
  <si>
    <t>Sanjay</t>
  </si>
  <si>
    <t>sanjay@gmail.com</t>
  </si>
  <si>
    <t>9000000018</t>
  </si>
  <si>
    <t>19-01-2026</t>
  </si>
  <si>
    <t>C019</t>
  </si>
  <si>
    <t xml:space="preserve">Asha </t>
  </si>
  <si>
    <t>asha@gmail.com</t>
  </si>
  <si>
    <t>9000000019</t>
  </si>
  <si>
    <t>2026/01/20</t>
  </si>
  <si>
    <t>C020</t>
  </si>
  <si>
    <t>Naveen</t>
  </si>
  <si>
    <t>naveen@gmail.com</t>
  </si>
  <si>
    <t>9000000020</t>
  </si>
  <si>
    <t>21/02/2026</t>
  </si>
  <si>
    <t>C021</t>
  </si>
  <si>
    <t>Swathi</t>
  </si>
  <si>
    <t>swathi@gmail.com</t>
  </si>
  <si>
    <t>9000000021</t>
  </si>
  <si>
    <t>22/01/2026</t>
  </si>
  <si>
    <t>C022</t>
  </si>
  <si>
    <t xml:space="preserve">  Harish</t>
  </si>
  <si>
    <t>harish@gmail.com</t>
  </si>
  <si>
    <t>9000000022</t>
  </si>
  <si>
    <t>23-01-2026</t>
  </si>
  <si>
    <t>C023</t>
  </si>
  <si>
    <t>Divya</t>
  </si>
  <si>
    <t>divya@gmail.com</t>
  </si>
  <si>
    <t>9000000023</t>
  </si>
  <si>
    <t>2026/01/24</t>
  </si>
  <si>
    <t>C024</t>
  </si>
  <si>
    <t>Prakash</t>
  </si>
  <si>
    <t>prakash@gmail.com</t>
  </si>
  <si>
    <t>9000000024</t>
  </si>
  <si>
    <t>25/02/2026</t>
  </si>
  <si>
    <t>C025</t>
  </si>
  <si>
    <t>Nithya</t>
  </si>
  <si>
    <t>nithya@gmail.com</t>
  </si>
  <si>
    <t>26/01/2026</t>
  </si>
  <si>
    <t>C026</t>
  </si>
  <si>
    <t>Venu</t>
  </si>
  <si>
    <t>venu@gmail.com</t>
  </si>
  <si>
    <t>9000000026</t>
  </si>
  <si>
    <t>27-01-2026</t>
  </si>
  <si>
    <t>C027</t>
  </si>
  <si>
    <t xml:space="preserve">Sowmya </t>
  </si>
  <si>
    <t>sowmya@gmail.com</t>
  </si>
  <si>
    <t>9000000027</t>
  </si>
  <si>
    <t>2026/01/28</t>
  </si>
  <si>
    <t>C028</t>
  </si>
  <si>
    <t xml:space="preserve">  Ajay </t>
  </si>
  <si>
    <t>ajay@gmail.com</t>
  </si>
  <si>
    <t>9000000028</t>
  </si>
  <si>
    <t>01/02/2026</t>
  </si>
  <si>
    <t>C029</t>
  </si>
  <si>
    <t>Harini</t>
  </si>
  <si>
    <t>harini@gmail.com</t>
  </si>
  <si>
    <t>9000000029</t>
  </si>
  <si>
    <t>C030</t>
  </si>
  <si>
    <t>Rohit</t>
  </si>
  <si>
    <t>rohit@gmail.com</t>
  </si>
  <si>
    <t>9000000030</t>
  </si>
  <si>
    <t>C031</t>
  </si>
  <si>
    <t>Bhavya</t>
  </si>
  <si>
    <t>bhavya@gmail.com</t>
  </si>
  <si>
    <t>9000000031</t>
  </si>
  <si>
    <t>C032</t>
  </si>
  <si>
    <t>Gopal</t>
  </si>
  <si>
    <t>gopal@gmail.com</t>
  </si>
  <si>
    <t>9000000032</t>
  </si>
  <si>
    <t>C033</t>
  </si>
  <si>
    <t xml:space="preserve">  Teja</t>
  </si>
  <si>
    <t>teja@gmail.com</t>
  </si>
  <si>
    <t>9000000033</t>
  </si>
  <si>
    <t>C034</t>
  </si>
  <si>
    <t>Mahesh</t>
  </si>
  <si>
    <t>9000000034</t>
  </si>
  <si>
    <t>C035</t>
  </si>
  <si>
    <t>Pallavi</t>
  </si>
  <si>
    <t>pallavi@gmail.com</t>
  </si>
  <si>
    <t>9000000035</t>
  </si>
  <si>
    <t>C036</t>
  </si>
  <si>
    <t xml:space="preserve">Raju </t>
  </si>
  <si>
    <t>raju@gmail.com</t>
  </si>
  <si>
    <t>9000000036</t>
  </si>
  <si>
    <t>C037</t>
  </si>
  <si>
    <t>Geetha</t>
  </si>
  <si>
    <t>geetha@gmail.com</t>
  </si>
  <si>
    <t>9000000037</t>
  </si>
  <si>
    <t xml:space="preserve"> Laptop </t>
  </si>
  <si>
    <t>C038</t>
  </si>
  <si>
    <t>Karthik</t>
  </si>
  <si>
    <t>karthik@gmail.com</t>
  </si>
  <si>
    <t>9000000038</t>
  </si>
  <si>
    <t>C039</t>
  </si>
  <si>
    <t xml:space="preserve">  Jyothi</t>
  </si>
  <si>
    <t>jyothi@gmail.com</t>
  </si>
  <si>
    <t>9000000039</t>
  </si>
  <si>
    <t>C040</t>
  </si>
  <si>
    <t>Mohan</t>
  </si>
  <si>
    <t>mohan@gmail.com</t>
  </si>
  <si>
    <t>9000000040</t>
  </si>
  <si>
    <t>C041</t>
  </si>
  <si>
    <t xml:space="preserve">Anusha </t>
  </si>
  <si>
    <t>anusha@gmail.com</t>
  </si>
  <si>
    <t>9000000041</t>
  </si>
  <si>
    <t>C042</t>
  </si>
  <si>
    <t>Srinivas</t>
  </si>
  <si>
    <t>srinivas@gmail.com</t>
  </si>
  <si>
    <t>9000000042</t>
  </si>
  <si>
    <t>C043</t>
  </si>
  <si>
    <t>Keerthi</t>
  </si>
  <si>
    <t>keerthi@gmail.com</t>
  </si>
  <si>
    <t>9000000043</t>
  </si>
  <si>
    <t>C044</t>
  </si>
  <si>
    <t xml:space="preserve">Naveen Kumar </t>
  </si>
  <si>
    <t>9000000044</t>
  </si>
  <si>
    <t>C045</t>
  </si>
  <si>
    <t>Mounika</t>
  </si>
  <si>
    <t>mounika@gmail.com</t>
  </si>
  <si>
    <t>9000000045</t>
  </si>
  <si>
    <t>C046</t>
  </si>
  <si>
    <t xml:space="preserve">  Surya</t>
  </si>
  <si>
    <t>surya@gmail.com</t>
  </si>
  <si>
    <t>9000000046</t>
  </si>
  <si>
    <t>C047</t>
  </si>
  <si>
    <t>Rani</t>
  </si>
  <si>
    <t>rani@gmail.com</t>
  </si>
  <si>
    <t>9000000047</t>
  </si>
  <si>
    <t>C048</t>
  </si>
  <si>
    <t xml:space="preserve">Vamsi </t>
  </si>
  <si>
    <t>vamsi@gmail.com</t>
  </si>
  <si>
    <t>9000000048</t>
  </si>
  <si>
    <t>C049</t>
  </si>
  <si>
    <t>9000000049</t>
  </si>
  <si>
    <t>C050</t>
  </si>
  <si>
    <t>9000000050</t>
  </si>
  <si>
    <t>Column1</t>
  </si>
  <si>
    <t>Blank values</t>
  </si>
  <si>
    <t>1</t>
  </si>
  <si>
    <t>50100</t>
  </si>
  <si>
    <t>0.05</t>
  </si>
  <si>
    <t>02-01-2026</t>
  </si>
  <si>
    <t>Upi</t>
  </si>
  <si>
    <t>Ravi Kumar</t>
  </si>
  <si>
    <t>2</t>
  </si>
  <si>
    <t>1000</t>
  </si>
  <si>
    <t>2000</t>
  </si>
  <si>
    <t>0.1</t>
  </si>
  <si>
    <t>Priya Reddy</t>
  </si>
  <si>
    <t>Chennai</t>
  </si>
  <si>
    <t>3</t>
  </si>
  <si>
    <t>1800</t>
  </si>
  <si>
    <t>5400</t>
  </si>
  <si>
    <t>0.15</t>
  </si>
  <si>
    <t>04-01-2026</t>
  </si>
  <si>
    <t>Suresh</t>
  </si>
  <si>
    <t>4</t>
  </si>
  <si>
    <t>12400</t>
  </si>
  <si>
    <t>49600</t>
  </si>
  <si>
    <t>05-02-2026</t>
  </si>
  <si>
    <t>Anil Kumar</t>
  </si>
  <si>
    <t>0</t>
  </si>
  <si>
    <t>15000</t>
  </si>
  <si>
    <t>06-01-2026</t>
  </si>
  <si>
    <t>6</t>
  </si>
  <si>
    <t>2600</t>
  </si>
  <si>
    <t>15600</t>
  </si>
  <si>
    <t>Rahul</t>
  </si>
  <si>
    <t>7</t>
  </si>
  <si>
    <t>50200</t>
  </si>
  <si>
    <t>351400</t>
  </si>
  <si>
    <t>08-01-2026</t>
  </si>
  <si>
    <t>Meena</t>
  </si>
  <si>
    <t>8</t>
  </si>
  <si>
    <t>1100</t>
  </si>
  <si>
    <t>8800</t>
  </si>
  <si>
    <t>09-02-2026</t>
  </si>
  <si>
    <t>Kiran</t>
  </si>
  <si>
    <t>1900</t>
  </si>
  <si>
    <t>10-01-2026</t>
  </si>
  <si>
    <t>12000</t>
  </si>
  <si>
    <t>24000</t>
  </si>
  <si>
    <t>15100</t>
  </si>
  <si>
    <t>45300</t>
  </si>
  <si>
    <t>12-01-2026</t>
  </si>
  <si>
    <t>2700</t>
  </si>
  <si>
    <t>10800</t>
  </si>
  <si>
    <t>13-02-2026</t>
  </si>
  <si>
    <t>5</t>
  </si>
  <si>
    <t>14-01-2026</t>
  </si>
  <si>
    <t>1200</t>
  </si>
  <si>
    <t>7200</t>
  </si>
  <si>
    <t>Kavya</t>
  </si>
  <si>
    <t>1500</t>
  </si>
  <si>
    <t>10500</t>
  </si>
  <si>
    <t>16-01-2026</t>
  </si>
  <si>
    <t>12100</t>
  </si>
  <si>
    <t>96800</t>
  </si>
  <si>
    <t>17-02-2026</t>
  </si>
  <si>
    <t>15200</t>
  </si>
  <si>
    <t>18-01-2026</t>
  </si>
  <si>
    <t>2800</t>
  </si>
  <si>
    <t>Asha</t>
  </si>
  <si>
    <t>50400</t>
  </si>
  <si>
    <t>151200</t>
  </si>
  <si>
    <t>20-01-2026</t>
  </si>
  <si>
    <t>800</t>
  </si>
  <si>
    <t>3200</t>
  </si>
  <si>
    <t>21-02-2026</t>
  </si>
  <si>
    <t>1600</t>
  </si>
  <si>
    <t>8000</t>
  </si>
  <si>
    <t>22-01-2026</t>
  </si>
  <si>
    <t>Harish</t>
  </si>
  <si>
    <t>-2</t>
  </si>
  <si>
    <t>12200</t>
  </si>
  <si>
    <t>-24400</t>
  </si>
  <si>
    <t>15300</t>
  </si>
  <si>
    <t>107100</t>
  </si>
  <si>
    <t>24-01-2026</t>
  </si>
  <si>
    <t>2900</t>
  </si>
  <si>
    <t>23200</t>
  </si>
  <si>
    <t>25-02-2026</t>
  </si>
  <si>
    <t>50000</t>
  </si>
  <si>
    <t>26-01-2026</t>
  </si>
  <si>
    <t>900</t>
  </si>
  <si>
    <t>Sowmya</t>
  </si>
  <si>
    <t>1700</t>
  </si>
  <si>
    <t>5100</t>
  </si>
  <si>
    <t>28-01-2026</t>
  </si>
  <si>
    <t>Ajay</t>
  </si>
  <si>
    <t>12300</t>
  </si>
  <si>
    <t>49200</t>
  </si>
  <si>
    <t>01-02-2026</t>
  </si>
  <si>
    <t>2500</t>
  </si>
  <si>
    <t>350700</t>
  </si>
  <si>
    <t>Teja</t>
  </si>
  <si>
    <t>24800</t>
  </si>
  <si>
    <t>45000</t>
  </si>
  <si>
    <t>Raju</t>
  </si>
  <si>
    <t>10400</t>
  </si>
  <si>
    <t>251000</t>
  </si>
  <si>
    <t>6600</t>
  </si>
  <si>
    <t>Jyothi</t>
  </si>
  <si>
    <t>96000</t>
  </si>
  <si>
    <t>Anusha</t>
  </si>
  <si>
    <t>50300</t>
  </si>
  <si>
    <t>150900</t>
  </si>
  <si>
    <t>Naveen Kumar</t>
  </si>
  <si>
    <t>4800</t>
  </si>
  <si>
    <t>7500</t>
  </si>
  <si>
    <t>Surya</t>
  </si>
  <si>
    <t>106400</t>
  </si>
  <si>
    <t>Vamsi</t>
  </si>
  <si>
    <t>-5600</t>
  </si>
  <si>
    <t>cleaned gender</t>
  </si>
  <si>
    <t>invalid quantity</t>
  </si>
  <si>
    <t>Category2</t>
  </si>
  <si>
    <t/>
  </si>
  <si>
    <t>unit price</t>
  </si>
  <si>
    <t>unit price status</t>
  </si>
  <si>
    <t>product status</t>
  </si>
  <si>
    <t>laptop</t>
  </si>
  <si>
    <t>keyboard</t>
  </si>
  <si>
    <t>headphones</t>
  </si>
  <si>
    <t>printeR</t>
  </si>
  <si>
    <t>PrinteR</t>
  </si>
  <si>
    <t>mousE</t>
  </si>
  <si>
    <t>monitoR</t>
  </si>
  <si>
    <t>laptoP</t>
  </si>
  <si>
    <t>Cleaned payment mode</t>
  </si>
  <si>
    <t>customerid status</t>
  </si>
  <si>
    <t>Data quality status</t>
  </si>
  <si>
    <t>Cleaned order</t>
  </si>
  <si>
    <t>Data quality summary</t>
  </si>
  <si>
    <t>Check</t>
  </si>
  <si>
    <t>Result</t>
  </si>
  <si>
    <t>Total Records</t>
  </si>
  <si>
    <t>Duplicate Customer IDs</t>
  </si>
  <si>
    <t>Missing Emails</t>
  </si>
  <si>
    <t>Missing Phones</t>
  </si>
  <si>
    <t>Invalid Quantities</t>
  </si>
  <si>
    <t>Invalid Prices</t>
  </si>
  <si>
    <t>Missing Prices</t>
  </si>
  <si>
    <t>Clean Records</t>
  </si>
  <si>
    <t>Needs Review</t>
  </si>
  <si>
    <t>MoUse</t>
  </si>
  <si>
    <t>LapTop</t>
  </si>
  <si>
    <t>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</si>
</sst>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wrapText="1"/>
    </xf>
    <xf numFmtId="4" fontId="0" fillId="0" borderId="0" xfId="0" applyNumberFormat="1"/>
    <xf numFmtId="9" fontId="0" fillId="0" borderId="0" xfId="0" applyNumberFormat="1"/>
    <xf numFmtId="0" fontId="2" fillId="2" borderId="0" xfId="0" applyFont="1" applyFill="1" applyAlignment="1">
      <alignment horizontal="center" wrapText="1"/>
    </xf>
    <xf numFmtId="1" fontId="0" fillId="0" borderId="0" xfId="0" applyNumberFormat="1"/>
    <xf numFmtId="0" fontId="0" fillId="0" borderId="0" xfId="0" applyNumberForma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B9A25B4-D662-45D5-B96E-F11A29F51E39}" autoFormatId="16" applyNumberFormats="0" applyBorderFormats="0" applyFontFormats="0" applyPatternFormats="0" applyAlignmentFormats="0" applyWidthHeightFormats="0">
  <queryTableRefresh nextId="31" unboundColumnsRight="2">
    <queryTableFields count="25">
      <queryTableField id="1" name="Customer ID" tableColumnId="1"/>
      <queryTableField id="23" dataBound="0" tableColumnId="9"/>
      <queryTableField id="2" name="Customer Name" tableColumnId="2"/>
      <queryTableField id="3" name="Email" tableColumnId="3"/>
      <queryTableField id="4" name="Blank values" tableColumnId="4"/>
      <queryTableField id="5" name="Phone" tableColumnId="5"/>
      <queryTableField id="17" dataBound="0" tableColumnId="17"/>
      <queryTableField id="6" name="City" tableColumnId="6"/>
      <queryTableField id="7" name="Gender" tableColumnId="7"/>
      <queryTableField id="18" dataBound="0" tableColumnId="18"/>
      <queryTableField id="8" name="Product" tableColumnId="8"/>
      <queryTableField id="26" dataBound="0" tableColumnId="22"/>
      <queryTableField id="20" dataBound="0" tableColumnId="20"/>
      <queryTableField id="10" name="Quantity" tableColumnId="10"/>
      <queryTableField id="19" dataBound="0" tableColumnId="19"/>
      <queryTableField id="21" dataBound="0" tableColumnId="21"/>
      <queryTableField id="24" dataBound="0" tableColumnId="11"/>
      <queryTableField id="12" name="Sales" tableColumnId="12"/>
      <queryTableField id="13" name="Discount" tableColumnId="13"/>
      <queryTableField id="14" name="Order Date" tableColumnId="14"/>
      <queryTableField id="15" name="Payment Mode" tableColumnId="15"/>
      <queryTableField id="27" dataBound="0" tableColumnId="23"/>
      <queryTableField id="16" name="Order Status" tableColumnId="16"/>
      <queryTableField id="29" dataBound="0" tableColumnId="25"/>
      <queryTableField id="30" dataBound="0" tableColumnId="26"/>
    </queryTableFields>
    <queryTableDeletedFields count="2">
      <deletedField name="Category"/>
      <deletedField name="Unit Pric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71BDF2-7042-45A8-A9D6-EF3FF370CF7B}" name="RawCustomerSales_" displayName="RawCustomerSales_" ref="A1:Y51" tableType="queryTable" totalsRowShown="0">
  <autoFilter ref="A1:Y51" xr:uid="{5171BDF2-7042-45A8-A9D6-EF3FF370CF7B}"/>
  <tableColumns count="25">
    <tableColumn id="1" xr3:uid="{03BC8122-CB41-4DDC-A7A2-22E9FF9FC151}" uniqueName="1" name="Customer ID" queryTableFieldId="1" dataDxfId="23"/>
    <tableColumn id="9" xr3:uid="{438A3FB3-657F-4530-9660-2B1F27245025}" uniqueName="9" name="customerid status" queryTableFieldId="23">
      <calculatedColumnFormula>IF(COUNTIF(RawCustomerSales_[Customer ID],RawCustomerSales_[[#This Row],[Customer ID]])&gt;1,"Duplicate","Unique")</calculatedColumnFormula>
    </tableColumn>
    <tableColumn id="2" xr3:uid="{B640BEB8-7620-42CC-BEC1-8BB1692CC137}" uniqueName="2" name="Customer Name" queryTableFieldId="2" dataDxfId="22"/>
    <tableColumn id="3" xr3:uid="{2BEDB984-ABAB-4D58-BD51-9F18D33CB09F}" uniqueName="3" name="Email" queryTableFieldId="3" dataDxfId="21"/>
    <tableColumn id="4" xr3:uid="{5B78DCCD-C6F0-48DC-ACED-E9837928AE6B}" uniqueName="4" name="Blank values" queryTableFieldId="4" dataDxfId="20"/>
    <tableColumn id="5" xr3:uid="{DB2EBE96-F280-422B-BAE7-8118F29878C5}" uniqueName="5" name="Phone" queryTableFieldId="5" dataDxfId="19"/>
    <tableColumn id="17" xr3:uid="{45375E33-5EBA-4E65-9C12-4EE264B8282F}" uniqueName="17" name="Column1" queryTableFieldId="17" dataDxfId="18"/>
    <tableColumn id="6" xr3:uid="{CC197D21-F57E-4766-B2F8-64967A8E995A}" uniqueName="6" name="City" queryTableFieldId="6" dataDxfId="17"/>
    <tableColumn id="7" xr3:uid="{AC60BDFC-545D-4D80-B421-D4DE28FD8D0B}" uniqueName="7" name="Gender" queryTableFieldId="7" dataDxfId="16"/>
    <tableColumn id="18" xr3:uid="{8F754C1B-686B-499C-B7EB-4A91A1020FCE}" uniqueName="18" name="cleaned gender" queryTableFieldId="18" dataDxfId="15">
      <calculatedColumnFormula>IF(OR(RawCustomerSales_[[#This Row],[Gender]]="M",RawCustomerSales_[[#This Row],[Gender]]="male",RawCustomerSales_[[#This Row],[Gender]]="MALE"),"Male","Female")</calculatedColumnFormula>
    </tableColumn>
    <tableColumn id="8" xr3:uid="{448F403C-0102-489B-9551-F4899DA01EE5}" uniqueName="8" name="Product" queryTableFieldId="8" dataDxfId="14"/>
    <tableColumn id="22" xr3:uid="{D85962E9-82CC-4925-B220-3D9A2DADB5CE}" uniqueName="22" name="product status" queryTableFieldId="26">
      <calculatedColumnFormula>PROPER(TRIM(RawCustomerSales_[[#This Row],[Product]]))</calculatedColumnFormula>
    </tableColumn>
    <tableColumn id="20" xr3:uid="{B22D79EC-628F-4708-99D3-1B8944B29196}" uniqueName="20" name="Category2" queryTableFieldId="20" dataDxfId="13"/>
    <tableColumn id="10" xr3:uid="{D763AA67-2529-4A64-8AE9-FAD55A0E3BD8}" uniqueName="10" name="Quantity" queryTableFieldId="10" dataDxfId="12"/>
    <tableColumn id="19" xr3:uid="{67AB5505-6971-4844-A28D-7D4D5A81A20D}" uniqueName="19" name="invalid quantity" queryTableFieldId="19" dataDxfId="11"/>
    <tableColumn id="21" xr3:uid="{2935CC7E-1904-4D72-8AD0-E9E7E00E4DC4}" uniqueName="21" name="unit price" queryTableFieldId="21" dataDxfId="10"/>
    <tableColumn id="11" xr3:uid="{14A8201E-DF44-4D21-B63F-AE1E7C6A1619}" uniqueName="11" name="unit price status" queryTableFieldId="24">
      <calculatedColumnFormula>IF(TRIM(RawCustomerSales_[[#This Row],[unit price]]&amp;"")="","Missing",IF(IFERROR(VALUE(RawCustomerSales_[[#This Row],[unit price]]),0)&lt;=0,"Invalid","Valid"))</calculatedColumnFormula>
    </tableColumn>
    <tableColumn id="12" xr3:uid="{948DF747-2DB7-4797-9DFD-2DCD3F16015F}" uniqueName="12" name="Sales" queryTableFieldId="12" dataDxfId="9"/>
    <tableColumn id="13" xr3:uid="{A2BA1D21-4C12-472C-8AC0-2F315788BD32}" uniqueName="13" name="Discount" queryTableFieldId="13" dataDxfId="8"/>
    <tableColumn id="14" xr3:uid="{F0FA1D93-AC2A-4A3A-86A7-F68C84ED4933}" uniqueName="14" name="Order Date" queryTableFieldId="14" dataDxfId="7"/>
    <tableColumn id="15" xr3:uid="{7993EEAF-4196-4C00-A573-7FF59C3685AC}" uniqueName="15" name="Payment Mode" queryTableFieldId="15" dataDxfId="6"/>
    <tableColumn id="23" xr3:uid="{70050E17-AF4C-4621-9B93-AD3DF000E700}" uniqueName="23" name="Cleaned payment mode" queryTableFieldId="27">
      <calculatedColumnFormula>IF(TRIM(RawCustomerSales_[[#This Row],[Payment Mode]]&amp;"")="","Missing",IF(UPPER(TRIM(RawCustomerSales_[[#This Row],[Payment Mode]]))="UPI","UPI",PROPER(TRIM(RawCustomerSales_[[#This Row],[Payment Mode]]))))</calculatedColumnFormula>
    </tableColumn>
    <tableColumn id="16" xr3:uid="{BF2C23A4-EAD2-4E05-B99A-AEFA298A2B71}" uniqueName="16" name="Order Status" queryTableFieldId="16" dataDxfId="5"/>
    <tableColumn id="25" xr3:uid="{A6936B45-9F8C-4A95-BB35-22BF45E9012F}" uniqueName="25" name="Cleaned order" queryTableFieldId="29" dataDxfId="1">
      <calculatedColumnFormula>IF(TRIM(RawCustomerSales_[[#This Row],[Order Status]]&amp;"")="","Missing",PROPER(TRIM(RawCustomerSales_[[#This Row],[Order Status]])))</calculatedColumnFormula>
    </tableColumn>
    <tableColumn id="26" xr3:uid="{2B5CB761-952F-4FBB-A03C-54BE50CB8F4D}" uniqueName="26" name="Data quality status" queryTableFieldId="30" dataDxfId="0">
      <calculatedColumnFormula>IF(OR(
RawCustomerSales_[[#This Row],[Blank values]]="Missing",
RawCustomerSales_[[#This Row],[invalid quantity]]="Invalid",
RawCustomerSales_[[#This Row],[unit price status]]="Invalid",
RawCustomerSales_[[#This Row],[unit price status]]="Missing"
),"Needs Review","Clean")</calculatedColumnFormula>
    </tableColumn>
  </tableColumns>
  <tableStyleInfo name="TableStyleDark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CustomerSales" displayName="RawCustomerSales" ref="A1:P51">
  <autoFilter ref="A1:P51" xr:uid="{00000000-0009-0000-0100-000001000000}"/>
  <tableColumns count="16">
    <tableColumn id="1" xr3:uid="{00000000-0010-0000-0000-000001000000}" name="Customer ID"/>
    <tableColumn id="2" xr3:uid="{00000000-0010-0000-0000-000002000000}" name="Customer Name"/>
    <tableColumn id="3" xr3:uid="{00000000-0010-0000-0000-000003000000}" name="Email"/>
    <tableColumn id="4" xr3:uid="{00000000-0010-0000-0000-000004000000}" name="Phone"/>
    <tableColumn id="5" xr3:uid="{00000000-0010-0000-0000-000005000000}" name="City"/>
    <tableColumn id="6" xr3:uid="{00000000-0010-0000-0000-000006000000}" name="Gender"/>
    <tableColumn id="17" xr3:uid="{5EE41740-212C-4389-AF41-1BEFD95D0A87}" name="Column1"/>
    <tableColumn id="7" xr3:uid="{00000000-0010-0000-0000-000007000000}" name="Product"/>
    <tableColumn id="8" xr3:uid="{00000000-0010-0000-0000-000008000000}" name="Category"/>
    <tableColumn id="9" xr3:uid="{00000000-0010-0000-0000-000009000000}" name="Quantity"/>
    <tableColumn id="10" xr3:uid="{00000000-0010-0000-0000-00000A000000}" name="Unit Price"/>
    <tableColumn id="11" xr3:uid="{00000000-0010-0000-0000-00000B000000}" name="Sales"/>
    <tableColumn id="12" xr3:uid="{00000000-0010-0000-0000-00000C000000}" name="Discount"/>
    <tableColumn id="13" xr3:uid="{00000000-0010-0000-0000-00000D000000}" name="Order Date"/>
    <tableColumn id="14" xr3:uid="{00000000-0010-0000-0000-00000E000000}" name="Payment Mode"/>
    <tableColumn id="15" xr3:uid="{00000000-0010-0000-0000-00000F000000}" name="Order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A131-CA89-4DB9-9784-B4B80DE804FD}">
  <dimension ref="A1:AA51"/>
  <sheetViews>
    <sheetView tabSelected="1" topLeftCell="F1" zoomScale="84" workbookViewId="0">
      <selection activeCell="K17" sqref="K17"/>
    </sheetView>
  </sheetViews>
  <sheetFormatPr defaultRowHeight="14.4" x14ac:dyDescent="0.3"/>
  <cols>
    <col min="1" max="1" width="13.5546875" bestFit="1" customWidth="1"/>
    <col min="2" max="2" width="17.77734375" bestFit="1" customWidth="1"/>
    <col min="3" max="3" width="16.88671875" bestFit="1" customWidth="1"/>
    <col min="4" max="4" width="20.6640625" bestFit="1" customWidth="1"/>
    <col min="5" max="5" width="13.6640625" bestFit="1" customWidth="1"/>
    <col min="6" max="6" width="11.44140625" style="5" bestFit="1" customWidth="1"/>
    <col min="7" max="7" width="11.44140625" customWidth="1"/>
    <col min="8" max="8" width="9.77734375" bestFit="1" customWidth="1"/>
    <col min="9" max="9" width="9.33203125" bestFit="1" customWidth="1"/>
    <col min="10" max="10" width="15.6640625" bestFit="1" customWidth="1"/>
    <col min="11" max="11" width="19.88671875" customWidth="1"/>
    <col min="12" max="12" width="14.88671875" bestFit="1" customWidth="1"/>
    <col min="13" max="13" width="16" customWidth="1"/>
    <col min="14" max="15" width="10.5546875" customWidth="1"/>
    <col min="16" max="16" width="16.21875" bestFit="1" customWidth="1"/>
    <col min="17" max="17" width="16.33203125" bestFit="1" customWidth="1"/>
    <col min="18" max="18" width="13.6640625" bestFit="1" customWidth="1"/>
    <col min="19" max="19" width="14.33203125" customWidth="1"/>
    <col min="20" max="20" width="14.109375" customWidth="1"/>
    <col min="21" max="22" width="20.5546875" customWidth="1"/>
    <col min="24" max="24" width="14.44140625" bestFit="1" customWidth="1"/>
    <col min="25" max="25" width="27.77734375" bestFit="1" customWidth="1"/>
    <col min="26" max="26" width="26.21875" customWidth="1"/>
    <col min="27" max="27" width="18.88671875" bestFit="1" customWidth="1"/>
  </cols>
  <sheetData>
    <row r="1" spans="1:27" x14ac:dyDescent="0.3">
      <c r="A1" t="s">
        <v>0</v>
      </c>
      <c r="B1" t="s">
        <v>408</v>
      </c>
      <c r="C1" t="s">
        <v>1</v>
      </c>
      <c r="D1" t="s">
        <v>2</v>
      </c>
      <c r="E1" t="s">
        <v>275</v>
      </c>
      <c r="F1" s="5" t="s">
        <v>3</v>
      </c>
      <c r="G1" t="s">
        <v>274</v>
      </c>
      <c r="H1" t="s">
        <v>4</v>
      </c>
      <c r="I1" t="s">
        <v>5</v>
      </c>
      <c r="J1" t="s">
        <v>392</v>
      </c>
      <c r="K1" t="s">
        <v>6</v>
      </c>
      <c r="L1" t="s">
        <v>398</v>
      </c>
      <c r="M1" t="s">
        <v>394</v>
      </c>
      <c r="N1" t="s">
        <v>8</v>
      </c>
      <c r="O1" t="s">
        <v>393</v>
      </c>
      <c r="P1" t="s">
        <v>396</v>
      </c>
      <c r="Q1" t="s">
        <v>397</v>
      </c>
      <c r="R1" t="s">
        <v>10</v>
      </c>
      <c r="S1" t="s">
        <v>11</v>
      </c>
      <c r="T1" t="s">
        <v>12</v>
      </c>
      <c r="U1" t="s">
        <v>13</v>
      </c>
      <c r="V1" t="s">
        <v>407</v>
      </c>
      <c r="W1" t="s">
        <v>14</v>
      </c>
      <c r="X1" t="s">
        <v>410</v>
      </c>
      <c r="Y1" t="s">
        <v>409</v>
      </c>
      <c r="AA1" t="s">
        <v>411</v>
      </c>
    </row>
    <row r="2" spans="1:27" x14ac:dyDescent="0.3">
      <c r="A2" t="s">
        <v>15</v>
      </c>
      <c r="B2" t="str">
        <f>IF(COUNTIF(RawCustomerSales_[Customer ID],RawCustomerSales_[[#This Row],[Customer ID]])&gt;1,"Duplicate","Unique")</f>
        <v>Unique</v>
      </c>
      <c r="C2" t="s">
        <v>16</v>
      </c>
      <c r="D2" t="s">
        <v>17</v>
      </c>
      <c r="E2" t="str">
        <f>IF(RawCustomerSales_[[#This Row],[Email]]="","missing","available")</f>
        <v>available</v>
      </c>
      <c r="F2" s="5" t="s">
        <v>18</v>
      </c>
      <c r="G2" t="str">
        <f>IF(RawCustomerSales_[[#This Row],[Phone]]="","missing","available")</f>
        <v>available</v>
      </c>
      <c r="H2" t="s">
        <v>19</v>
      </c>
      <c r="I2" t="s">
        <v>20</v>
      </c>
      <c r="J2" t="str">
        <f>IF(OR(RawCustomerSales_[[#This Row],[Gender]]="M",RawCustomerSales_[[#This Row],[Gender]]="male",RawCustomerSales_[[#This Row],[Gender]]="MALE"),"Male","Female")</f>
        <v>Male</v>
      </c>
      <c r="K2" t="s">
        <v>406</v>
      </c>
      <c r="L2" t="str">
        <f>PROPER(TRIM(RawCustomerSales_[[#This Row],[Product]]))</f>
        <v>Laptop</v>
      </c>
      <c r="M2" t="s">
        <v>65</v>
      </c>
      <c r="N2" t="s">
        <v>276</v>
      </c>
      <c r="O2" t="str">
        <f>IF(TRIM(RawCustomerSales_[[#This Row],[Quantity]]&amp;"")="","Missing",IF(VALUE(RawCustomerSales_[[#This Row],[Quantity]])&lt;=0,"Invalid","Valid"))</f>
        <v>Valid</v>
      </c>
      <c r="P2" t="s">
        <v>277</v>
      </c>
      <c r="Q2" t="str">
        <f>IF(TRIM(RawCustomerSales_[[#This Row],[unit price]]&amp;"")="","Missing",IF(IFERROR(VALUE(RawCustomerSales_[[#This Row],[unit price]]),0)&lt;=0,"Invalid","Valid"))</f>
        <v>Valid</v>
      </c>
      <c r="R2" t="s">
        <v>277</v>
      </c>
      <c r="S2" t="s">
        <v>278</v>
      </c>
      <c r="T2" t="s">
        <v>279</v>
      </c>
      <c r="U2" t="s">
        <v>280</v>
      </c>
      <c r="V2" t="str">
        <f>IF(TRIM(RawCustomerSales_[[#This Row],[Payment Mode]]&amp;"")="","Missing",IF(UPPER(TRIM(RawCustomerSales_[[#This Row],[Payment Mode]]))="UPI","UPI",PROPER(TRIM(RawCustomerSales_[[#This Row],[Payment Mode]]))))</f>
        <v>UPI</v>
      </c>
      <c r="W2" t="s">
        <v>25</v>
      </c>
      <c r="X2" s="6" t="str">
        <f>IF(TRIM(RawCustomerSales_[[#This Row],[Order Status]]&amp;"")="","Missing",PROPER(TRIM(RawCustomerSales_[[#This Row],[Order Status]])))</f>
        <v>Delivered</v>
      </c>
      <c r="Y2" s="6" t="str">
        <f>IF(OR(
RawCustomerSales_[[#This Row],[Blank values]]="Missing",
RawCustomerSales_[[#This Row],[invalid quantity]]="Invalid",
RawCustomerSales_[[#This Row],[unit price status]]="Invalid",
RawCustomerSales_[[#This Row],[unit price status]]="Missing"
),"Needs Review","Clean")</f>
        <v>Clean</v>
      </c>
      <c r="Z2" s="7" t="s">
        <v>412</v>
      </c>
      <c r="AA2" s="9" t="s">
        <v>413</v>
      </c>
    </row>
    <row r="3" spans="1:27" x14ac:dyDescent="0.3">
      <c r="A3" t="s">
        <v>26</v>
      </c>
      <c r="B3" t="str">
        <f>IF(COUNTIF(RawCustomerSales_[Customer ID],RawCustomerSales_[[#This Row],[Customer ID]])&gt;1,"Duplicate","Unique")</f>
        <v>Duplicate</v>
      </c>
      <c r="C3" t="s">
        <v>281</v>
      </c>
      <c r="D3" t="s">
        <v>28</v>
      </c>
      <c r="E3" t="str">
        <f>IF(RawCustomerSales_[[#This Row],[Email]]="","missing","available")</f>
        <v>available</v>
      </c>
      <c r="F3" s="5" t="s">
        <v>29</v>
      </c>
      <c r="G3" t="str">
        <f>IF(RawCustomerSales_[[#This Row],[Phone]]="","missing","available")</f>
        <v>available</v>
      </c>
      <c r="H3" t="s">
        <v>30</v>
      </c>
      <c r="I3" t="s">
        <v>20</v>
      </c>
      <c r="J3" t="str">
        <f>IF(OR(RawCustomerSales_[[#This Row],[Gender]]="M",RawCustomerSales_[[#This Row],[Gender]]="male",RawCustomerSales_[[#This Row],[Gender]]="MALE"),"Male","Female")</f>
        <v>Male</v>
      </c>
      <c r="K3" t="s">
        <v>404</v>
      </c>
      <c r="L3" t="str">
        <f>PROPER(TRIM(RawCustomerSales_[[#This Row],[Product]]))</f>
        <v>Mouse</v>
      </c>
      <c r="M3" t="s">
        <v>33</v>
      </c>
      <c r="N3" t="s">
        <v>282</v>
      </c>
      <c r="O3" t="str">
        <f>IF(TRIM(RawCustomerSales_[[#This Row],[Quantity]]&amp;"")="","Missing",IF(VALUE(RawCustomerSales_[[#This Row],[Quantity]])&lt;=0,"Invalid","Valid"))</f>
        <v>Valid</v>
      </c>
      <c r="P3" t="s">
        <v>283</v>
      </c>
      <c r="Q3" t="str">
        <f>IF(TRIM(RawCustomerSales_[[#This Row],[unit price]]&amp;"")="","Missing",IF(IFERROR(VALUE(RawCustomerSales_[[#This Row],[unit price]]),0)&lt;=0,"Invalid","Valid"))</f>
        <v>Valid</v>
      </c>
      <c r="R3" t="s">
        <v>284</v>
      </c>
      <c r="S3" t="s">
        <v>285</v>
      </c>
      <c r="T3" t="s">
        <v>34</v>
      </c>
      <c r="U3" t="s">
        <v>280</v>
      </c>
      <c r="V3" t="str">
        <f>IF(TRIM(RawCustomerSales_[[#This Row],[Payment Mode]]&amp;"")="","Missing",IF(UPPER(TRIM(RawCustomerSales_[[#This Row],[Payment Mode]]))="UPI","UPI",PROPER(TRIM(RawCustomerSales_[[#This Row],[Payment Mode]]))))</f>
        <v>UPI</v>
      </c>
      <c r="W3" t="s">
        <v>25</v>
      </c>
      <c r="X3" s="6" t="str">
        <f>IF(TRIM(RawCustomerSales_[[#This Row],[Order Status]]&amp;"")="","Missing",PROPER(TRIM(RawCustomerSales_[[#This Row],[Order Status]])))</f>
        <v>Delivered</v>
      </c>
      <c r="Y3" s="6" t="str">
        <f>IF(OR(
RawCustomerSales_[[#This Row],[Blank values]]="Missing",
RawCustomerSales_[[#This Row],[invalid quantity]]="Invalid",
RawCustomerSales_[[#This Row],[unit price status]]="Invalid",
RawCustomerSales_[[#This Row],[unit price status]]="Missing"
),"Needs Review","Clean")</f>
        <v>Clean</v>
      </c>
      <c r="Z3" s="10" t="s">
        <v>414</v>
      </c>
      <c r="AA3" s="8">
        <f>ROWS(RawCustomerSales[Customer ID])</f>
        <v>50</v>
      </c>
    </row>
    <row r="4" spans="1:27" x14ac:dyDescent="0.3">
      <c r="A4" t="s">
        <v>26</v>
      </c>
      <c r="B4" t="str">
        <f>IF(COUNTIF(RawCustomerSales_[Customer ID],RawCustomerSales_[[#This Row],[Customer ID]])&gt;1,"Duplicate","Unique")</f>
        <v>Duplicate</v>
      </c>
      <c r="C4" t="s">
        <v>286</v>
      </c>
      <c r="D4" t="s">
        <v>39</v>
      </c>
      <c r="E4" t="str">
        <f>IF(RawCustomerSales_[[#This Row],[Email]]="","missing","available")</f>
        <v>available</v>
      </c>
      <c r="F4" s="5" t="s">
        <v>40</v>
      </c>
      <c r="G4" t="str">
        <f>IF(RawCustomerSales_[[#This Row],[Phone]]="","missing","available")</f>
        <v>available</v>
      </c>
      <c r="H4" t="s">
        <v>287</v>
      </c>
      <c r="I4" t="s">
        <v>20</v>
      </c>
      <c r="J4" t="str">
        <f>IF(OR(RawCustomerSales_[[#This Row],[Gender]]="M",RawCustomerSales_[[#This Row],[Gender]]="male",RawCustomerSales_[[#This Row],[Gender]]="MALE"),"Male","Female")</f>
        <v>Male</v>
      </c>
      <c r="K4" t="s">
        <v>43</v>
      </c>
      <c r="L4" t="str">
        <f>PROPER(TRIM(RawCustomerSales_[[#This Row],[Product]]))</f>
        <v>Keyboard</v>
      </c>
      <c r="M4" t="s">
        <v>33</v>
      </c>
      <c r="N4" t="s">
        <v>288</v>
      </c>
      <c r="O4" t="str">
        <f>IF(TRIM(RawCustomerSales_[[#This Row],[Quantity]]&amp;"")="","Missing",IF(VALUE(RawCustomerSales_[[#This Row],[Quantity]])&lt;=0,"Invalid","Valid"))</f>
        <v>Valid</v>
      </c>
      <c r="P4" t="s">
        <v>289</v>
      </c>
      <c r="Q4" t="str">
        <f>IF(TRIM(RawCustomerSales_[[#This Row],[unit price]]&amp;"")="","Missing",IF(IFERROR(VALUE(RawCustomerSales_[[#This Row],[unit price]]),0)&lt;=0,"Invalid","Valid"))</f>
        <v>Valid</v>
      </c>
      <c r="R4" t="s">
        <v>290</v>
      </c>
      <c r="S4" t="s">
        <v>291</v>
      </c>
      <c r="T4" t="s">
        <v>292</v>
      </c>
      <c r="U4" t="s">
        <v>46</v>
      </c>
      <c r="V4" t="str">
        <f>IF(TRIM(RawCustomerSales_[[#This Row],[Payment Mode]]&amp;"")="","Missing",IF(UPPER(TRIM(RawCustomerSales_[[#This Row],[Payment Mode]]))="UPI","UPI",PROPER(TRIM(RawCustomerSales_[[#This Row],[Payment Mode]]))))</f>
        <v>Cash</v>
      </c>
      <c r="W4" t="s">
        <v>25</v>
      </c>
      <c r="X4" s="6" t="str">
        <f>IF(TRIM(RawCustomerSales_[[#This Row],[Order Status]]&amp;"")="","Missing",PROPER(TRIM(RawCustomerSales_[[#This Row],[Order Status]])))</f>
        <v>Delivered</v>
      </c>
      <c r="Y4" s="6" t="str">
        <f>IF(OR(
RawCustomerSales_[[#This Row],[Blank values]]="Missing",
RawCustomerSales_[[#This Row],[invalid quantity]]="Invalid",
RawCustomerSales_[[#This Row],[unit price status]]="Invalid",
RawCustomerSales_[[#This Row],[unit price status]]="Missing"
),"Needs Review","Clean")</f>
        <v>Clean</v>
      </c>
      <c r="Z4" s="10" t="s">
        <v>415</v>
      </c>
      <c r="AA4" s="8">
        <f>COUNTIF(B2:B51,"duplicate")</f>
        <v>4</v>
      </c>
    </row>
    <row r="5" spans="1:27" x14ac:dyDescent="0.3">
      <c r="A5" t="s">
        <v>48</v>
      </c>
      <c r="B5" t="str">
        <f>IF(COUNTIF(RawCustomerSales_[Customer ID],RawCustomerSales_[[#This Row],[Customer ID]])&gt;1,"Duplicate","Unique")</f>
        <v>Unique</v>
      </c>
      <c r="C5" t="s">
        <v>293</v>
      </c>
      <c r="E5" t="str">
        <f>IF(RawCustomerSales_[[#This Row],[Email]]="","missing","available")</f>
        <v>missing</v>
      </c>
      <c r="F5" s="5" t="s">
        <v>50</v>
      </c>
      <c r="G5" t="str">
        <f>IF(RawCustomerSales_[[#This Row],[Phone]]="","missing","available")</f>
        <v>available</v>
      </c>
      <c r="H5" t="s">
        <v>51</v>
      </c>
      <c r="I5" t="s">
        <v>52</v>
      </c>
      <c r="J5" t="str">
        <f>IF(OR(RawCustomerSales_[[#This Row],[Gender]]="M",RawCustomerSales_[[#This Row],[Gender]]="male",RawCustomerSales_[[#This Row],[Gender]]="MALE"),"Male","Female")</f>
        <v>Male</v>
      </c>
      <c r="K5" t="s">
        <v>405</v>
      </c>
      <c r="L5" t="str">
        <f>PROPER(TRIM(RawCustomerSales_[[#This Row],[Product]]))</f>
        <v>Monitor</v>
      </c>
      <c r="M5" t="s">
        <v>65</v>
      </c>
      <c r="N5" t="s">
        <v>294</v>
      </c>
      <c r="O5" t="str">
        <f>IF(TRIM(RawCustomerSales_[[#This Row],[Quantity]]&amp;"")="","Missing",IF(VALUE(RawCustomerSales_[[#This Row],[Quantity]])&lt;=0,"Invalid","Valid"))</f>
        <v>Valid</v>
      </c>
      <c r="P5" t="s">
        <v>295</v>
      </c>
      <c r="Q5" t="str">
        <f>IF(TRIM(RawCustomerSales_[[#This Row],[unit price]]&amp;"")="","Missing",IF(IFERROR(VALUE(RawCustomerSales_[[#This Row],[unit price]]),0)&lt;=0,"Invalid","Valid"))</f>
        <v>Valid</v>
      </c>
      <c r="R5" t="s">
        <v>296</v>
      </c>
      <c r="S5" t="s">
        <v>278</v>
      </c>
      <c r="T5" t="s">
        <v>297</v>
      </c>
      <c r="U5" t="s">
        <v>46</v>
      </c>
      <c r="V5" t="str">
        <f>IF(TRIM(RawCustomerSales_[[#This Row],[Payment Mode]]&amp;"")="","Missing",IF(UPPER(TRIM(RawCustomerSales_[[#This Row],[Payment Mode]]))="UPI","UPI",PROPER(TRIM(RawCustomerSales_[[#This Row],[Payment Mode]]))))</f>
        <v>Cash</v>
      </c>
      <c r="W5" t="s">
        <v>57</v>
      </c>
      <c r="X5" s="6" t="str">
        <f>IF(TRIM(RawCustomerSales_[[#This Row],[Order Status]]&amp;"")="","Missing",PROPER(TRIM(RawCustomerSales_[[#This Row],[Order Status]])))</f>
        <v>Pending</v>
      </c>
      <c r="Y5" s="6" t="str">
        <f>IF(OR(
RawCustomerSales_[[#This Row],[Blank values]]="Missing",
RawCustomerSales_[[#This Row],[invalid quantity]]="Invalid",
RawCustomerSales_[[#This Row],[unit price status]]="Invalid",
RawCustomerSales_[[#This Row],[unit price status]]="Missing"
),"Needs Review","Clean")</f>
        <v>Needs Review</v>
      </c>
      <c r="Z5" s="10" t="s">
        <v>416</v>
      </c>
      <c r="AA5" s="8">
        <f>COUNTIF(E2:E51,"missing")</f>
        <v>4</v>
      </c>
    </row>
    <row r="6" spans="1:27" x14ac:dyDescent="0.3">
      <c r="A6" t="s">
        <v>58</v>
      </c>
      <c r="B6" t="str">
        <f>IF(COUNTIF(RawCustomerSales_[Customer ID],RawCustomerSales_[[#This Row],[Customer ID]])&gt;1,"Duplicate","Unique")</f>
        <v>Unique</v>
      </c>
      <c r="C6" t="s">
        <v>298</v>
      </c>
      <c r="D6" t="s">
        <v>60</v>
      </c>
      <c r="E6" t="str">
        <f>IF(RawCustomerSales_[[#This Row],[Email]]="","missing","available")</f>
        <v>available</v>
      </c>
      <c r="F6" s="5" t="s">
        <v>61</v>
      </c>
      <c r="G6" t="str">
        <f>IF(RawCustomerSales_[[#This Row],[Phone]]="","missing","available")</f>
        <v>available</v>
      </c>
      <c r="H6" t="s">
        <v>19</v>
      </c>
      <c r="I6" t="s">
        <v>63</v>
      </c>
      <c r="J6" t="str">
        <f>IF(OR(RawCustomerSales_[[#This Row],[Gender]]="M",RawCustomerSales_[[#This Row],[Gender]]="male",RawCustomerSales_[[#This Row],[Gender]]="MALE"),"Male","Female")</f>
        <v>Female</v>
      </c>
      <c r="K6" t="s">
        <v>403</v>
      </c>
      <c r="L6" t="str">
        <f>PROPER(TRIM(RawCustomerSales_[[#This Row],[Product]]))</f>
        <v>Printer</v>
      </c>
      <c r="M6" t="s">
        <v>65</v>
      </c>
      <c r="N6" t="s">
        <v>299</v>
      </c>
      <c r="O6" t="str">
        <f>IF(TRIM(RawCustomerSales_[[#This Row],[Quantity]]&amp;"")="","Missing",IF(VALUE(RawCustomerSales_[[#This Row],[Quantity]])&lt;=0,"Invalid","Valid"))</f>
        <v>Invalid</v>
      </c>
      <c r="P6" t="s">
        <v>300</v>
      </c>
      <c r="Q6" t="str">
        <f>IF(TRIM(RawCustomerSales_[[#This Row],[unit price]]&amp;"")="","Missing",IF(IFERROR(VALUE(RawCustomerSales_[[#This Row],[unit price]]),0)&lt;=0,"Invalid","Valid"))</f>
        <v>Valid</v>
      </c>
      <c r="R6" t="s">
        <v>299</v>
      </c>
      <c r="S6" t="s">
        <v>285</v>
      </c>
      <c r="T6" t="s">
        <v>301</v>
      </c>
      <c r="U6" t="s">
        <v>67</v>
      </c>
      <c r="V6" t="str">
        <f>IF(TRIM(RawCustomerSales_[[#This Row],[Payment Mode]]&amp;"")="","Missing",IF(UPPER(TRIM(RawCustomerSales_[[#This Row],[Payment Mode]]))="UPI","UPI",PROPER(TRIM(RawCustomerSales_[[#This Row],[Payment Mode]]))))</f>
        <v>Card</v>
      </c>
      <c r="W6" t="s">
        <v>57</v>
      </c>
      <c r="X6" s="6" t="str">
        <f>IF(TRIM(RawCustomerSales_[[#This Row],[Order Status]]&amp;"")="","Missing",PROPER(TRIM(RawCustomerSales_[[#This Row],[Order Status]])))</f>
        <v>Pending</v>
      </c>
      <c r="Y6" s="6" t="str">
        <f>IF(OR(
RawCustomerSales_[[#This Row],[Blank values]]="Missing",
RawCustomerSales_[[#This Row],[invalid quantity]]="Invalid",
RawCustomerSales_[[#This Row],[unit price status]]="Invalid",
RawCustomerSales_[[#This Row],[unit price status]]="Missing"
),"Needs Review","Clean")</f>
        <v>Needs Review</v>
      </c>
      <c r="Z6" s="10" t="s">
        <v>417</v>
      </c>
      <c r="AA6" s="8">
        <f>COUNTIF(G2:G51,"missing")</f>
        <v>1</v>
      </c>
    </row>
    <row r="7" spans="1:27" x14ac:dyDescent="0.3">
      <c r="A7" t="s">
        <v>69</v>
      </c>
      <c r="B7" t="str">
        <f>IF(COUNTIF(RawCustomerSales_[Customer ID],RawCustomerSales_[[#This Row],[Customer ID]])&gt;1,"Duplicate","Unique")</f>
        <v>Unique</v>
      </c>
      <c r="C7" t="s">
        <v>70</v>
      </c>
      <c r="D7" t="s">
        <v>71</v>
      </c>
      <c r="E7" t="str">
        <f>IF(RawCustomerSales_[[#This Row],[Email]]="","missing","available")</f>
        <v>available</v>
      </c>
      <c r="F7" s="5" t="s">
        <v>72</v>
      </c>
      <c r="G7" t="str">
        <f>IF(RawCustomerSales_[[#This Row],[Phone]]="","missing","available")</f>
        <v>available</v>
      </c>
      <c r="H7" t="s">
        <v>30</v>
      </c>
      <c r="I7" t="s">
        <v>63</v>
      </c>
      <c r="J7" t="str">
        <f>IF(OR(RawCustomerSales_[[#This Row],[Gender]]="M",RawCustomerSales_[[#This Row],[Gender]]="male",RawCustomerSales_[[#This Row],[Gender]]="MALE"),"Male","Female")</f>
        <v>Female</v>
      </c>
      <c r="K7" t="s">
        <v>401</v>
      </c>
      <c r="L7" t="str">
        <f>PROPER(TRIM(RawCustomerSales_[[#This Row],[Product]]))</f>
        <v>Headphones</v>
      </c>
      <c r="M7" t="s">
        <v>33</v>
      </c>
      <c r="N7" t="s">
        <v>302</v>
      </c>
      <c r="O7" t="str">
        <f>IF(TRIM(RawCustomerSales_[[#This Row],[Quantity]]&amp;"")="","Missing",IF(VALUE(RawCustomerSales_[[#This Row],[Quantity]])&lt;=0,"Invalid","Valid"))</f>
        <v>Valid</v>
      </c>
      <c r="P7" t="s">
        <v>303</v>
      </c>
      <c r="Q7" t="str">
        <f>IF(TRIM(RawCustomerSales_[[#This Row],[unit price]]&amp;"")="","Missing",IF(IFERROR(VALUE(RawCustomerSales_[[#This Row],[unit price]]),0)&lt;=0,"Invalid","Valid"))</f>
        <v>Valid</v>
      </c>
      <c r="R7" t="s">
        <v>304</v>
      </c>
      <c r="S7" t="s">
        <v>278</v>
      </c>
      <c r="T7" t="s">
        <v>76</v>
      </c>
      <c r="U7" t="s">
        <v>67</v>
      </c>
      <c r="V7" t="str">
        <f>IF(TRIM(RawCustomerSales_[[#This Row],[Payment Mode]]&amp;"")="","Missing",IF(UPPER(TRIM(RawCustomerSales_[[#This Row],[Payment Mode]]))="UPI","UPI",PROPER(TRIM(RawCustomerSales_[[#This Row],[Payment Mode]]))))</f>
        <v>Card</v>
      </c>
      <c r="W7" t="s">
        <v>78</v>
      </c>
      <c r="X7" s="6" t="str">
        <f>IF(TRIM(RawCustomerSales_[[#This Row],[Order Status]]&amp;"")="","Missing",PROPER(TRIM(RawCustomerSales_[[#This Row],[Order Status]])))</f>
        <v>Cancelled</v>
      </c>
      <c r="Y7" s="6" t="str">
        <f>IF(OR(
RawCustomerSales_[[#This Row],[Blank values]]="Missing",
RawCustomerSales_[[#This Row],[invalid quantity]]="Invalid",
RawCustomerSales_[[#This Row],[unit price status]]="Invalid",
RawCustomerSales_[[#This Row],[unit price status]]="Missing"
),"Needs Review","Clean")</f>
        <v>Clean</v>
      </c>
      <c r="Z7" s="10" t="s">
        <v>418</v>
      </c>
      <c r="AA7" s="8">
        <f>COUNTIF(O2:O51,"invalid")</f>
        <v>5</v>
      </c>
    </row>
    <row r="8" spans="1:27" x14ac:dyDescent="0.3">
      <c r="A8" t="s">
        <v>79</v>
      </c>
      <c r="B8" t="str">
        <f>IF(COUNTIF(RawCustomerSales_[Customer ID],RawCustomerSales_[[#This Row],[Customer ID]])&gt;1,"Duplicate","Unique")</f>
        <v>Unique</v>
      </c>
      <c r="C8" t="s">
        <v>305</v>
      </c>
      <c r="D8" t="s">
        <v>81</v>
      </c>
      <c r="E8" t="str">
        <f>IF(RawCustomerSales_[[#This Row],[Email]]="","missing","available")</f>
        <v>available</v>
      </c>
      <c r="F8" s="5" t="s">
        <v>82</v>
      </c>
      <c r="G8" t="str">
        <f>IF(RawCustomerSales_[[#This Row],[Phone]]="","missing","available")</f>
        <v>available</v>
      </c>
      <c r="H8" t="s">
        <v>51</v>
      </c>
      <c r="I8" t="s">
        <v>63</v>
      </c>
      <c r="J8" t="str">
        <f>IF(OR(RawCustomerSales_[[#This Row],[Gender]]="M",RawCustomerSales_[[#This Row],[Gender]]="male",RawCustomerSales_[[#This Row],[Gender]]="MALE"),"Male","Female")</f>
        <v>Female</v>
      </c>
      <c r="K8" t="s">
        <v>21</v>
      </c>
      <c r="L8" t="str">
        <f>PROPER(TRIM(RawCustomerSales_[[#This Row],[Product]]))</f>
        <v>Laptop</v>
      </c>
      <c r="M8" t="s">
        <v>65</v>
      </c>
      <c r="N8" t="s">
        <v>306</v>
      </c>
      <c r="O8" t="str">
        <f>IF(TRIM(RawCustomerSales_[[#This Row],[Quantity]]&amp;"")="","Missing",IF(VALUE(RawCustomerSales_[[#This Row],[Quantity]])&lt;=0,"Invalid","Valid"))</f>
        <v>Valid</v>
      </c>
      <c r="P8" t="s">
        <v>307</v>
      </c>
      <c r="Q8" t="str">
        <f>IF(TRIM(RawCustomerSales_[[#This Row],[unit price]]&amp;"")="","Missing",IF(IFERROR(VALUE(RawCustomerSales_[[#This Row],[unit price]]),0)&lt;=0,"Invalid","Valid"))</f>
        <v>Valid</v>
      </c>
      <c r="R8" t="s">
        <v>308</v>
      </c>
      <c r="S8" t="s">
        <v>285</v>
      </c>
      <c r="T8" t="s">
        <v>309</v>
      </c>
      <c r="U8" t="s">
        <v>86</v>
      </c>
      <c r="V8" t="str">
        <f>IF(TRIM(RawCustomerSales_[[#This Row],[Payment Mode]]&amp;"")="","Missing",IF(UPPER(TRIM(RawCustomerSales_[[#This Row],[Payment Mode]]))="UPI","UPI",PROPER(TRIM(RawCustomerSales_[[#This Row],[Payment Mode]]))))</f>
        <v>Net Banking</v>
      </c>
      <c r="W8" t="s">
        <v>25</v>
      </c>
      <c r="X8" s="6" t="str">
        <f>IF(TRIM(RawCustomerSales_[[#This Row],[Order Status]]&amp;"")="","Missing",PROPER(TRIM(RawCustomerSales_[[#This Row],[Order Status]])))</f>
        <v>Delivered</v>
      </c>
      <c r="Y8" s="6" t="str">
        <f>IF(OR(
RawCustomerSales_[[#This Row],[Blank values]]="Missing",
RawCustomerSales_[[#This Row],[invalid quantity]]="Invalid",
RawCustomerSales_[[#This Row],[unit price status]]="Invalid",
RawCustomerSales_[[#This Row],[unit price status]]="Missing"
),"Needs Review","Clean")</f>
        <v>Clean</v>
      </c>
      <c r="Z8" s="10" t="s">
        <v>419</v>
      </c>
      <c r="AA8" s="8">
        <f>COUNTIF(Q2:Q51,"invalid")</f>
        <v>2</v>
      </c>
    </row>
    <row r="9" spans="1:27" x14ac:dyDescent="0.3">
      <c r="A9" t="s">
        <v>87</v>
      </c>
      <c r="B9" t="str">
        <f>IF(COUNTIF(RawCustomerSales_[Customer ID],RawCustomerSales_[[#This Row],[Customer ID]])&gt;1,"Duplicate","Unique")</f>
        <v>Unique</v>
      </c>
      <c r="C9" t="s">
        <v>310</v>
      </c>
      <c r="D9" t="s">
        <v>89</v>
      </c>
      <c r="E9" t="str">
        <f>IF(RawCustomerSales_[[#This Row],[Email]]="","missing","available")</f>
        <v>available</v>
      </c>
      <c r="F9" s="5" t="s">
        <v>90</v>
      </c>
      <c r="G9" t="str">
        <f>IF(RawCustomerSales_[[#This Row],[Phone]]="","missing","available")</f>
        <v>available</v>
      </c>
      <c r="H9" t="s">
        <v>19</v>
      </c>
      <c r="I9" t="s">
        <v>91</v>
      </c>
      <c r="J9" t="str">
        <f>IF(OR(RawCustomerSales_[[#This Row],[Gender]]="M",RawCustomerSales_[[#This Row],[Gender]]="male",RawCustomerSales_[[#This Row],[Gender]]="MALE"),"Male","Female")</f>
        <v>Female</v>
      </c>
      <c r="K9" t="s">
        <v>423</v>
      </c>
      <c r="L9" t="str">
        <f>PROPER(TRIM(RawCustomerSales_[[#This Row],[Product]]))</f>
        <v>Mouse</v>
      </c>
      <c r="M9" t="s">
        <v>33</v>
      </c>
      <c r="N9" t="s">
        <v>311</v>
      </c>
      <c r="O9" t="str">
        <f>IF(TRIM(RawCustomerSales_[[#This Row],[Quantity]]&amp;"")="","Missing",IF(VALUE(RawCustomerSales_[[#This Row],[Quantity]])&lt;=0,"Invalid","Valid"))</f>
        <v>Valid</v>
      </c>
      <c r="P9" t="s">
        <v>312</v>
      </c>
      <c r="Q9" t="str">
        <f>IF(TRIM(RawCustomerSales_[[#This Row],[unit price]]&amp;"")="","Missing",IF(IFERROR(VALUE(RawCustomerSales_[[#This Row],[unit price]]),0)&lt;=0,"Invalid","Valid"))</f>
        <v>Valid</v>
      </c>
      <c r="R9" t="s">
        <v>313</v>
      </c>
      <c r="S9" t="s">
        <v>291</v>
      </c>
      <c r="T9" t="s">
        <v>314</v>
      </c>
      <c r="U9" t="s">
        <v>280</v>
      </c>
      <c r="V9" t="str">
        <f>IF(TRIM(RawCustomerSales_[[#This Row],[Payment Mode]]&amp;"")="","Missing",IF(UPPER(TRIM(RawCustomerSales_[[#This Row],[Payment Mode]]))="UPI","UPI",PROPER(TRIM(RawCustomerSales_[[#This Row],[Payment Mode]]))))</f>
        <v>UPI</v>
      </c>
      <c r="W9" t="s">
        <v>25</v>
      </c>
      <c r="X9" s="6" t="str">
        <f>IF(TRIM(RawCustomerSales_[[#This Row],[Order Status]]&amp;"")="","Missing",PROPER(TRIM(RawCustomerSales_[[#This Row],[Order Status]])))</f>
        <v>Delivered</v>
      </c>
      <c r="Y9" s="6" t="str">
        <f>IF(OR(
RawCustomerSales_[[#This Row],[Blank values]]="Missing",
RawCustomerSales_[[#This Row],[invalid quantity]]="Invalid",
RawCustomerSales_[[#This Row],[unit price status]]="Invalid",
RawCustomerSales_[[#This Row],[unit price status]]="Missing"
),"Needs Review","Clean")</f>
        <v>Clean</v>
      </c>
      <c r="Z9" s="10" t="s">
        <v>420</v>
      </c>
      <c r="AA9" s="8">
        <f>COUNTIF(Q2:Q51,"invalid")</f>
        <v>2</v>
      </c>
    </row>
    <row r="10" spans="1:27" x14ac:dyDescent="0.3">
      <c r="A10" t="s">
        <v>93</v>
      </c>
      <c r="B10" t="str">
        <f>IF(COUNTIF(RawCustomerSales_[Customer ID],RawCustomerSales_[[#This Row],[Customer ID]])&gt;1,"Duplicate","Unique")</f>
        <v>Unique</v>
      </c>
      <c r="C10" t="s">
        <v>315</v>
      </c>
      <c r="D10" t="s">
        <v>95</v>
      </c>
      <c r="E10" t="str">
        <f>IF(RawCustomerSales_[[#This Row],[Email]]="","missing","available")</f>
        <v>available</v>
      </c>
      <c r="F10" s="5" t="s">
        <v>96</v>
      </c>
      <c r="G10" t="str">
        <f>IF(RawCustomerSales_[[#This Row],[Phone]]="","missing","available")</f>
        <v>available</v>
      </c>
      <c r="H10" t="s">
        <v>30</v>
      </c>
      <c r="I10" t="s">
        <v>20</v>
      </c>
      <c r="J10" t="str">
        <f>IF(OR(RawCustomerSales_[[#This Row],[Gender]]="M",RawCustomerSales_[[#This Row],[Gender]]="male",RawCustomerSales_[[#This Row],[Gender]]="MALE"),"Male","Female")</f>
        <v>Male</v>
      </c>
      <c r="K10" t="s">
        <v>400</v>
      </c>
      <c r="L10" t="str">
        <f>PROPER(TRIM(RawCustomerSales_[[#This Row],[Product]]))</f>
        <v>Keyboard</v>
      </c>
      <c r="M10" t="s">
        <v>33</v>
      </c>
      <c r="N10" t="s">
        <v>276</v>
      </c>
      <c r="O10" t="str">
        <f>IF(TRIM(RawCustomerSales_[[#This Row],[Quantity]]&amp;"")="","Missing",IF(VALUE(RawCustomerSales_[[#This Row],[Quantity]])&lt;=0,"Invalid","Valid"))</f>
        <v>Valid</v>
      </c>
      <c r="P10" t="s">
        <v>316</v>
      </c>
      <c r="Q10" t="str">
        <f>IF(TRIM(RawCustomerSales_[[#This Row],[unit price]]&amp;"")="","Missing",IF(IFERROR(VALUE(RawCustomerSales_[[#This Row],[unit price]]),0)&lt;=0,"Invalid","Valid"))</f>
        <v>Valid</v>
      </c>
      <c r="R10" t="s">
        <v>316</v>
      </c>
      <c r="S10" t="s">
        <v>278</v>
      </c>
      <c r="T10" t="s">
        <v>317</v>
      </c>
      <c r="U10" t="s">
        <v>280</v>
      </c>
      <c r="V10" t="str">
        <f>IF(TRIM(RawCustomerSales_[[#This Row],[Payment Mode]]&amp;"")="","Missing",IF(UPPER(TRIM(RawCustomerSales_[[#This Row],[Payment Mode]]))="UPI","UPI",PROPER(TRIM(RawCustomerSales_[[#This Row],[Payment Mode]]))))</f>
        <v>UPI</v>
      </c>
      <c r="W10" t="s">
        <v>25</v>
      </c>
      <c r="X10" s="6" t="str">
        <f>IF(TRIM(RawCustomerSales_[[#This Row],[Order Status]]&amp;"")="","Missing",PROPER(TRIM(RawCustomerSales_[[#This Row],[Order Status]])))</f>
        <v>Delivered</v>
      </c>
      <c r="Y10" s="6" t="str">
        <f>IF(OR(
RawCustomerSales_[[#This Row],[Blank values]]="Missing",
RawCustomerSales_[[#This Row],[invalid quantity]]="Invalid",
RawCustomerSales_[[#This Row],[unit price status]]="Invalid",
RawCustomerSales_[[#This Row],[unit price status]]="Missing"
),"Needs Review","Clean")</f>
        <v>Clean</v>
      </c>
      <c r="Z10" s="10" t="s">
        <v>421</v>
      </c>
      <c r="AA10" s="8">
        <f>COUNTIF(Y2:Y51,"clean")</f>
        <v>38</v>
      </c>
    </row>
    <row r="11" spans="1:27" x14ac:dyDescent="0.3">
      <c r="A11" t="s">
        <v>98</v>
      </c>
      <c r="B11" t="str">
        <f>IF(COUNTIF(RawCustomerSales_[Customer ID],RawCustomerSales_[[#This Row],[Customer ID]])&gt;1,"Duplicate","Unique")</f>
        <v>Unique</v>
      </c>
      <c r="C11" t="s">
        <v>99</v>
      </c>
      <c r="D11" t="s">
        <v>100</v>
      </c>
      <c r="E11" t="str">
        <f>IF(RawCustomerSales_[[#This Row],[Email]]="","missing","available")</f>
        <v>available</v>
      </c>
      <c r="F11" s="5" t="s">
        <v>101</v>
      </c>
      <c r="G11" t="str">
        <f>IF(RawCustomerSales_[[#This Row],[Phone]]="","missing","available")</f>
        <v>available</v>
      </c>
      <c r="H11" t="s">
        <v>287</v>
      </c>
      <c r="I11" t="s">
        <v>20</v>
      </c>
      <c r="J11" t="str">
        <f>IF(OR(RawCustomerSales_[[#This Row],[Gender]]="M",RawCustomerSales_[[#This Row],[Gender]]="male",RawCustomerSales_[[#This Row],[Gender]]="MALE"),"Male","Female")</f>
        <v>Male</v>
      </c>
      <c r="K11" t="s">
        <v>53</v>
      </c>
      <c r="L11" t="str">
        <f>PROPER(TRIM(RawCustomerSales_[[#This Row],[Product]]))</f>
        <v>Monitor</v>
      </c>
      <c r="M11" t="s">
        <v>65</v>
      </c>
      <c r="N11" t="s">
        <v>282</v>
      </c>
      <c r="O11" t="str">
        <f>IF(TRIM(RawCustomerSales_[[#This Row],[Quantity]]&amp;"")="","Missing",IF(VALUE(RawCustomerSales_[[#This Row],[Quantity]])&lt;=0,"Invalid","Valid"))</f>
        <v>Valid</v>
      </c>
      <c r="P11" t="s">
        <v>318</v>
      </c>
      <c r="Q11" t="str">
        <f>IF(TRIM(RawCustomerSales_[[#This Row],[unit price]]&amp;"")="","Missing",IF(IFERROR(VALUE(RawCustomerSales_[[#This Row],[unit price]]),0)&lt;=0,"Invalid","Valid"))</f>
        <v>Valid</v>
      </c>
      <c r="R11" t="s">
        <v>319</v>
      </c>
      <c r="S11" t="s">
        <v>285</v>
      </c>
      <c r="T11" t="s">
        <v>102</v>
      </c>
      <c r="U11" t="s">
        <v>46</v>
      </c>
      <c r="V11" t="str">
        <f>IF(TRIM(RawCustomerSales_[[#This Row],[Payment Mode]]&amp;"")="","Missing",IF(UPPER(TRIM(RawCustomerSales_[[#This Row],[Payment Mode]]))="UPI","UPI",PROPER(TRIM(RawCustomerSales_[[#This Row],[Payment Mode]]))))</f>
        <v>Cash</v>
      </c>
      <c r="W11" t="s">
        <v>57</v>
      </c>
      <c r="X11" s="6" t="str">
        <f>IF(TRIM(RawCustomerSales_[[#This Row],[Order Status]]&amp;"")="","Missing",PROPER(TRIM(RawCustomerSales_[[#This Row],[Order Status]])))</f>
        <v>Pending</v>
      </c>
      <c r="Y11" s="6" t="str">
        <f>IF(OR(
RawCustomerSales_[[#This Row],[Blank values]]="Missing",
RawCustomerSales_[[#This Row],[invalid quantity]]="Invalid",
RawCustomerSales_[[#This Row],[unit price status]]="Invalid",
RawCustomerSales_[[#This Row],[unit price status]]="Missing"
),"Needs Review","Clean")</f>
        <v>Clean</v>
      </c>
      <c r="Z11" s="10" t="s">
        <v>422</v>
      </c>
      <c r="AA11" s="8">
        <f>COUNTIF(Y2:Y51,"needs review")</f>
        <v>12</v>
      </c>
    </row>
    <row r="12" spans="1:27" x14ac:dyDescent="0.3">
      <c r="A12" t="s">
        <v>103</v>
      </c>
      <c r="B12" t="str">
        <f>IF(COUNTIF(RawCustomerSales_[Customer ID],RawCustomerSales_[[#This Row],[Customer ID]])&gt;1,"Duplicate","Unique")</f>
        <v>Unique</v>
      </c>
      <c r="C12" t="s">
        <v>104</v>
      </c>
      <c r="D12" t="s">
        <v>105</v>
      </c>
      <c r="E12" t="str">
        <f>IF(RawCustomerSales_[[#This Row],[Email]]="","missing","available")</f>
        <v>available</v>
      </c>
      <c r="F12" s="5" t="s">
        <v>106</v>
      </c>
      <c r="G12" t="str">
        <f>IF(RawCustomerSales_[[#This Row],[Phone]]="","missing","available")</f>
        <v>available</v>
      </c>
      <c r="H12" t="s">
        <v>51</v>
      </c>
      <c r="I12" t="s">
        <v>20</v>
      </c>
      <c r="J12" t="str">
        <f>IF(OR(RawCustomerSales_[[#This Row],[Gender]]="M",RawCustomerSales_[[#This Row],[Gender]]="male",RawCustomerSales_[[#This Row],[Gender]]="MALE"),"Male","Female")</f>
        <v>Male</v>
      </c>
      <c r="K12" t="s">
        <v>402</v>
      </c>
      <c r="L12" t="str">
        <f>PROPER(TRIM(RawCustomerSales_[[#This Row],[Product]]))</f>
        <v>Printer</v>
      </c>
      <c r="M12" t="s">
        <v>65</v>
      </c>
      <c r="N12" t="s">
        <v>288</v>
      </c>
      <c r="O12" t="str">
        <f>IF(TRIM(RawCustomerSales_[[#This Row],[Quantity]]&amp;"")="","Missing",IF(VALUE(RawCustomerSales_[[#This Row],[Quantity]])&lt;=0,"Invalid","Valid"))</f>
        <v>Valid</v>
      </c>
      <c r="P12" t="s">
        <v>320</v>
      </c>
      <c r="Q12" t="str">
        <f>IF(TRIM(RawCustomerSales_[[#This Row],[unit price]]&amp;"")="","Missing",IF(IFERROR(VALUE(RawCustomerSales_[[#This Row],[unit price]]),0)&lt;=0,"Invalid","Valid"))</f>
        <v>Valid</v>
      </c>
      <c r="R12" t="s">
        <v>321</v>
      </c>
      <c r="S12" t="s">
        <v>278</v>
      </c>
      <c r="T12" t="s">
        <v>322</v>
      </c>
      <c r="U12" t="s">
        <v>46</v>
      </c>
      <c r="V12" t="str">
        <f>IF(TRIM(RawCustomerSales_[[#This Row],[Payment Mode]]&amp;"")="","Missing",IF(UPPER(TRIM(RawCustomerSales_[[#This Row],[Payment Mode]]))="UPI","UPI",PROPER(TRIM(RawCustomerSales_[[#This Row],[Payment Mode]]))))</f>
        <v>Cash</v>
      </c>
      <c r="W12" t="s">
        <v>57</v>
      </c>
      <c r="X12" s="6" t="str">
        <f>IF(TRIM(RawCustomerSales_[[#This Row],[Order Status]]&amp;"")="","Missing",PROPER(TRIM(RawCustomerSales_[[#This Row],[Order Status]])))</f>
        <v>Pending</v>
      </c>
      <c r="Y12" s="6" t="str">
        <f>IF(OR(
RawCustomerSales_[[#This Row],[Blank values]]="Missing",
RawCustomerSales_[[#This Row],[invalid quantity]]="Invalid",
RawCustomerSales_[[#This Row],[unit price status]]="Invalid",
RawCustomerSales_[[#This Row],[unit price status]]="Missing"
),"Needs Review","Clean")</f>
        <v>Clean</v>
      </c>
    </row>
    <row r="13" spans="1:27" x14ac:dyDescent="0.3">
      <c r="A13" t="s">
        <v>109</v>
      </c>
      <c r="B13" t="str">
        <f>IF(COUNTIF(RawCustomerSales_[Customer ID],RawCustomerSales_[[#This Row],[Customer ID]])&gt;1,"Duplicate","Unique")</f>
        <v>Unique</v>
      </c>
      <c r="C13" t="s">
        <v>110</v>
      </c>
      <c r="E13" t="str">
        <f>IF(RawCustomerSales_[[#This Row],[Email]]="","missing","available")</f>
        <v>missing</v>
      </c>
      <c r="F13" s="5" t="s">
        <v>111</v>
      </c>
      <c r="G13" t="str">
        <f>IF(RawCustomerSales_[[#This Row],[Phone]]="","missing","available")</f>
        <v>available</v>
      </c>
      <c r="H13" t="s">
        <v>19</v>
      </c>
      <c r="I13" t="s">
        <v>52</v>
      </c>
      <c r="J13" t="str">
        <f>IF(OR(RawCustomerSales_[[#This Row],[Gender]]="M",RawCustomerSales_[[#This Row],[Gender]]="male",RawCustomerSales_[[#This Row],[Gender]]="MALE"),"Male","Female")</f>
        <v>Male</v>
      </c>
      <c r="K13" t="s">
        <v>75</v>
      </c>
      <c r="L13" t="str">
        <f>PROPER(TRIM(RawCustomerSales_[[#This Row],[Product]]))</f>
        <v>Headphones</v>
      </c>
      <c r="M13" t="s">
        <v>33</v>
      </c>
      <c r="N13" t="s">
        <v>294</v>
      </c>
      <c r="O13" t="str">
        <f>IF(TRIM(RawCustomerSales_[[#This Row],[Quantity]]&amp;"")="","Missing",IF(VALUE(RawCustomerSales_[[#This Row],[Quantity]])&lt;=0,"Invalid","Valid"))</f>
        <v>Valid</v>
      </c>
      <c r="P13" t="s">
        <v>323</v>
      </c>
      <c r="Q13" t="str">
        <f>IF(TRIM(RawCustomerSales_[[#This Row],[unit price]]&amp;"")="","Missing",IF(IFERROR(VALUE(RawCustomerSales_[[#This Row],[unit price]]),0)&lt;=0,"Invalid","Valid"))</f>
        <v>Valid</v>
      </c>
      <c r="R13" t="s">
        <v>324</v>
      </c>
      <c r="S13" t="s">
        <v>285</v>
      </c>
      <c r="T13" t="s">
        <v>325</v>
      </c>
      <c r="U13" t="s">
        <v>67</v>
      </c>
      <c r="V13" t="str">
        <f>IF(TRIM(RawCustomerSales_[[#This Row],[Payment Mode]]&amp;"")="","Missing",IF(UPPER(TRIM(RawCustomerSales_[[#This Row],[Payment Mode]]))="UPI","UPI",PROPER(TRIM(RawCustomerSales_[[#This Row],[Payment Mode]]))))</f>
        <v>Card</v>
      </c>
      <c r="W13" t="s">
        <v>78</v>
      </c>
      <c r="X13" s="6" t="str">
        <f>IF(TRIM(RawCustomerSales_[[#This Row],[Order Status]]&amp;"")="","Missing",PROPER(TRIM(RawCustomerSales_[[#This Row],[Order Status]])))</f>
        <v>Cancelled</v>
      </c>
      <c r="Y13" s="6" t="str">
        <f>IF(OR(
RawCustomerSales_[[#This Row],[Blank values]]="Missing",
RawCustomerSales_[[#This Row],[invalid quantity]]="Invalid",
RawCustomerSales_[[#This Row],[unit price status]]="Invalid",
RawCustomerSales_[[#This Row],[unit price status]]="Missing"
),"Needs Review","Clean")</f>
        <v>Needs Review</v>
      </c>
    </row>
    <row r="14" spans="1:27" x14ac:dyDescent="0.3">
      <c r="A14" t="s">
        <v>113</v>
      </c>
      <c r="B14" t="str">
        <f>IF(COUNTIF(RawCustomerSales_[Customer ID],RawCustomerSales_[[#This Row],[Customer ID]])&gt;1,"Duplicate","Unique")</f>
        <v>Unique</v>
      </c>
      <c r="C14" t="s">
        <v>114</v>
      </c>
      <c r="D14" t="s">
        <v>115</v>
      </c>
      <c r="E14" t="str">
        <f>IF(RawCustomerSales_[[#This Row],[Email]]="","missing","available")</f>
        <v>available</v>
      </c>
      <c r="F14" s="5" t="s">
        <v>116</v>
      </c>
      <c r="G14" t="str">
        <f>IF(RawCustomerSales_[[#This Row],[Phone]]="","missing","available")</f>
        <v>available</v>
      </c>
      <c r="H14" t="s">
        <v>30</v>
      </c>
      <c r="I14" t="s">
        <v>63</v>
      </c>
      <c r="J14" t="str">
        <f>IF(OR(RawCustomerSales_[[#This Row],[Gender]]="M",RawCustomerSales_[[#This Row],[Gender]]="male",RawCustomerSales_[[#This Row],[Gender]]="MALE"),"Male","Female")</f>
        <v>Female</v>
      </c>
      <c r="K14" t="s">
        <v>424</v>
      </c>
      <c r="L14" t="str">
        <f>PROPER(TRIM(RawCustomerSales_[[#This Row],[Product]]))</f>
        <v>Laptop</v>
      </c>
      <c r="M14" t="s">
        <v>65</v>
      </c>
      <c r="N14" t="s">
        <v>326</v>
      </c>
      <c r="O14" t="str">
        <f>IF(TRIM(RawCustomerSales_[[#This Row],[Quantity]]&amp;"")="","Missing",IF(VALUE(RawCustomerSales_[[#This Row],[Quantity]])&lt;=0,"Invalid","Valid"))</f>
        <v>Valid</v>
      </c>
      <c r="P14" t="s">
        <v>299</v>
      </c>
      <c r="Q14" t="str">
        <f>IF(TRIM(RawCustomerSales_[[#This Row],[unit price]]&amp;"")="","Missing",IF(IFERROR(VALUE(RawCustomerSales_[[#This Row],[unit price]]),0)&lt;=0,"Invalid","Valid"))</f>
        <v>Invalid</v>
      </c>
      <c r="R14" t="s">
        <v>299</v>
      </c>
      <c r="S14" t="s">
        <v>291</v>
      </c>
      <c r="T14" t="s">
        <v>327</v>
      </c>
      <c r="U14" t="s">
        <v>67</v>
      </c>
      <c r="V14" t="str">
        <f>IF(TRIM(RawCustomerSales_[[#This Row],[Payment Mode]]&amp;"")="","Missing",IF(UPPER(TRIM(RawCustomerSales_[[#This Row],[Payment Mode]]))="UPI","UPI",PROPER(TRIM(RawCustomerSales_[[#This Row],[Payment Mode]]))))</f>
        <v>Card</v>
      </c>
      <c r="W14" t="s">
        <v>25</v>
      </c>
      <c r="X14" s="6" t="str">
        <f>IF(TRIM(RawCustomerSales_[[#This Row],[Order Status]]&amp;"")="","Missing",PROPER(TRIM(RawCustomerSales_[[#This Row],[Order Status]])))</f>
        <v>Delivered</v>
      </c>
      <c r="Y14" s="6" t="str">
        <f>IF(OR(
RawCustomerSales_[[#This Row],[Blank values]]="Missing",
RawCustomerSales_[[#This Row],[invalid quantity]]="Invalid",
RawCustomerSales_[[#This Row],[unit price status]]="Invalid",
RawCustomerSales_[[#This Row],[unit price status]]="Missing"
),"Needs Review","Clean")</f>
        <v>Needs Review</v>
      </c>
    </row>
    <row r="15" spans="1:27" x14ac:dyDescent="0.3">
      <c r="A15" t="s">
        <v>118</v>
      </c>
      <c r="B15" t="str">
        <f>IF(COUNTIF(RawCustomerSales_[Customer ID],RawCustomerSales_[[#This Row],[Customer ID]])&gt;1,"Duplicate","Unique")</f>
        <v>Unique</v>
      </c>
      <c r="C15" t="s">
        <v>119</v>
      </c>
      <c r="D15" t="s">
        <v>120</v>
      </c>
      <c r="E15" t="str">
        <f>IF(RawCustomerSales_[[#This Row],[Email]]="","missing","available")</f>
        <v>available</v>
      </c>
      <c r="F15" s="5" t="s">
        <v>121</v>
      </c>
      <c r="G15" t="str">
        <f>IF(RawCustomerSales_[[#This Row],[Phone]]="","missing","available")</f>
        <v>available</v>
      </c>
      <c r="H15" t="s">
        <v>51</v>
      </c>
      <c r="I15" t="s">
        <v>63</v>
      </c>
      <c r="J15" t="str">
        <f>IF(OR(RawCustomerSales_[[#This Row],[Gender]]="M",RawCustomerSales_[[#This Row],[Gender]]="male",RawCustomerSales_[[#This Row],[Gender]]="MALE"),"Male","Female")</f>
        <v>Female</v>
      </c>
      <c r="K15" t="s">
        <v>32</v>
      </c>
      <c r="L15" t="str">
        <f>PROPER(TRIM(RawCustomerSales_[[#This Row],[Product]]))</f>
        <v>Mouse</v>
      </c>
      <c r="M15" t="s">
        <v>33</v>
      </c>
      <c r="N15" t="s">
        <v>302</v>
      </c>
      <c r="O15" t="str">
        <f>IF(TRIM(RawCustomerSales_[[#This Row],[Quantity]]&amp;"")="","Missing",IF(VALUE(RawCustomerSales_[[#This Row],[Quantity]])&lt;=0,"Invalid","Valid"))</f>
        <v>Valid</v>
      </c>
      <c r="P15" t="s">
        <v>328</v>
      </c>
      <c r="Q15" t="str">
        <f>IF(TRIM(RawCustomerSales_[[#This Row],[unit price]]&amp;"")="","Missing",IF(IFERROR(VALUE(RawCustomerSales_[[#This Row],[unit price]]),0)&lt;=0,"Invalid","Valid"))</f>
        <v>Valid</v>
      </c>
      <c r="R15" t="s">
        <v>329</v>
      </c>
      <c r="S15" t="s">
        <v>278</v>
      </c>
      <c r="T15" t="s">
        <v>122</v>
      </c>
      <c r="U15" t="s">
        <v>86</v>
      </c>
      <c r="V15" t="str">
        <f>IF(TRIM(RawCustomerSales_[[#This Row],[Payment Mode]]&amp;"")="","Missing",IF(UPPER(TRIM(RawCustomerSales_[[#This Row],[Payment Mode]]))="UPI","UPI",PROPER(TRIM(RawCustomerSales_[[#This Row],[Payment Mode]]))))</f>
        <v>Net Banking</v>
      </c>
      <c r="W15" t="s">
        <v>25</v>
      </c>
      <c r="X15" s="6" t="str">
        <f>IF(TRIM(RawCustomerSales_[[#This Row],[Order Status]]&amp;"")="","Missing",PROPER(TRIM(RawCustomerSales_[[#This Row],[Order Status]])))</f>
        <v>Delivered</v>
      </c>
      <c r="Y15" s="6" t="str">
        <f>IF(OR(
RawCustomerSales_[[#This Row],[Blank values]]="Missing",
RawCustomerSales_[[#This Row],[invalid quantity]]="Invalid",
RawCustomerSales_[[#This Row],[unit price status]]="Invalid",
RawCustomerSales_[[#This Row],[unit price status]]="Missing"
),"Needs Review","Clean")</f>
        <v>Clean</v>
      </c>
    </row>
    <row r="16" spans="1:27" x14ac:dyDescent="0.3">
      <c r="A16" t="s">
        <v>123</v>
      </c>
      <c r="B16" t="str">
        <f>IF(COUNTIF(RawCustomerSales_[Customer ID],RawCustomerSales_[[#This Row],[Customer ID]])&gt;1,"Duplicate","Unique")</f>
        <v>Unique</v>
      </c>
      <c r="C16" t="s">
        <v>330</v>
      </c>
      <c r="D16" t="s">
        <v>125</v>
      </c>
      <c r="E16" t="str">
        <f>IF(RawCustomerSales_[[#This Row],[Email]]="","missing","available")</f>
        <v>available</v>
      </c>
      <c r="F16" s="5" t="s">
        <v>126</v>
      </c>
      <c r="G16" t="str">
        <f>IF(RawCustomerSales_[[#This Row],[Phone]]="","missing","available")</f>
        <v>available</v>
      </c>
      <c r="H16" t="s">
        <v>19</v>
      </c>
      <c r="I16" t="s">
        <v>63</v>
      </c>
      <c r="J16" t="str">
        <f>IF(OR(RawCustomerSales_[[#This Row],[Gender]]="M",RawCustomerSales_[[#This Row],[Gender]]="male",RawCustomerSales_[[#This Row],[Gender]]="MALE"),"Male","Female")</f>
        <v>Female</v>
      </c>
      <c r="K16" t="s">
        <v>43</v>
      </c>
      <c r="L16" t="str">
        <f>PROPER(TRIM(RawCustomerSales_[[#This Row],[Product]]))</f>
        <v>Keyboard</v>
      </c>
      <c r="M16" t="s">
        <v>33</v>
      </c>
      <c r="N16" t="s">
        <v>306</v>
      </c>
      <c r="O16" t="str">
        <f>IF(TRIM(RawCustomerSales_[[#This Row],[Quantity]]&amp;"")="","Missing",IF(VALUE(RawCustomerSales_[[#This Row],[Quantity]])&lt;=0,"Invalid","Valid"))</f>
        <v>Valid</v>
      </c>
      <c r="P16" t="s">
        <v>331</v>
      </c>
      <c r="Q16" t="str">
        <f>IF(TRIM(RawCustomerSales_[[#This Row],[unit price]]&amp;"")="","Missing",IF(IFERROR(VALUE(RawCustomerSales_[[#This Row],[unit price]]),0)&lt;=0,"Invalid","Valid"))</f>
        <v>Valid</v>
      </c>
      <c r="R16" t="s">
        <v>332</v>
      </c>
      <c r="S16" t="s">
        <v>285</v>
      </c>
      <c r="T16" t="s">
        <v>333</v>
      </c>
      <c r="U16" t="s">
        <v>280</v>
      </c>
      <c r="V16" t="str">
        <f>IF(TRIM(RawCustomerSales_[[#This Row],[Payment Mode]]&amp;"")="","Missing",IF(UPPER(TRIM(RawCustomerSales_[[#This Row],[Payment Mode]]))="UPI","UPI",PROPER(TRIM(RawCustomerSales_[[#This Row],[Payment Mode]]))))</f>
        <v>UPI</v>
      </c>
      <c r="W16" t="s">
        <v>25</v>
      </c>
      <c r="X16" s="6" t="str">
        <f>IF(TRIM(RawCustomerSales_[[#This Row],[Order Status]]&amp;"")="","Missing",PROPER(TRIM(RawCustomerSales_[[#This Row],[Order Status]])))</f>
        <v>Delivered</v>
      </c>
      <c r="Y16" s="6" t="str">
        <f>IF(OR(
RawCustomerSales_[[#This Row],[Blank values]]="Missing",
RawCustomerSales_[[#This Row],[invalid quantity]]="Invalid",
RawCustomerSales_[[#This Row],[unit price status]]="Invalid",
RawCustomerSales_[[#This Row],[unit price status]]="Missing"
),"Needs Review","Clean")</f>
        <v>Clean</v>
      </c>
    </row>
    <row r="17" spans="1:25" x14ac:dyDescent="0.3">
      <c r="A17" t="s">
        <v>128</v>
      </c>
      <c r="B17" t="str">
        <f>IF(COUNTIF(RawCustomerSales_[Customer ID],RawCustomerSales_[[#This Row],[Customer ID]])&gt;1,"Duplicate","Unique")</f>
        <v>Unique</v>
      </c>
      <c r="C17" t="s">
        <v>129</v>
      </c>
      <c r="D17" t="s">
        <v>130</v>
      </c>
      <c r="E17" t="str">
        <f>IF(RawCustomerSales_[[#This Row],[Email]]="","missing","available")</f>
        <v>available</v>
      </c>
      <c r="G17" t="str">
        <f>IF(RawCustomerSales_[[#This Row],[Phone]]="","missing","available")</f>
        <v>missing</v>
      </c>
      <c r="H17" t="s">
        <v>30</v>
      </c>
      <c r="I17" t="s">
        <v>91</v>
      </c>
      <c r="J17" t="str">
        <f>IF(OR(RawCustomerSales_[[#This Row],[Gender]]="M",RawCustomerSales_[[#This Row],[Gender]]="male",RawCustomerSales_[[#This Row],[Gender]]="MALE"),"Male","Female")</f>
        <v>Female</v>
      </c>
      <c r="K17" t="s">
        <v>425</v>
      </c>
      <c r="L17" t="str">
        <f>PROPER(TRIM(RawCustomerSales_[[#This Row],[Product]]))</f>
        <v>Monitor</v>
      </c>
      <c r="M17" t="s">
        <v>65</v>
      </c>
      <c r="N17" t="s">
        <v>311</v>
      </c>
      <c r="O17" t="str">
        <f>IF(TRIM(RawCustomerSales_[[#This Row],[Quantity]]&amp;"")="","Missing",IF(VALUE(RawCustomerSales_[[#This Row],[Quantity]])&lt;=0,"Invalid","Valid"))</f>
        <v>Valid</v>
      </c>
      <c r="P17" t="s">
        <v>334</v>
      </c>
      <c r="Q17" t="str">
        <f>IF(TRIM(RawCustomerSales_[[#This Row],[unit price]]&amp;"")="","Missing",IF(IFERROR(VALUE(RawCustomerSales_[[#This Row],[unit price]]),0)&lt;=0,"Invalid","Valid"))</f>
        <v>Valid</v>
      </c>
      <c r="R17" t="s">
        <v>335</v>
      </c>
      <c r="S17" t="s">
        <v>278</v>
      </c>
      <c r="T17" t="s">
        <v>336</v>
      </c>
      <c r="U17" t="s">
        <v>280</v>
      </c>
      <c r="V17" t="str">
        <f>IF(TRIM(RawCustomerSales_[[#This Row],[Payment Mode]]&amp;"")="","Missing",IF(UPPER(TRIM(RawCustomerSales_[[#This Row],[Payment Mode]]))="UPI","UPI",PROPER(TRIM(RawCustomerSales_[[#This Row],[Payment Mode]]))))</f>
        <v>UPI</v>
      </c>
      <c r="W17" t="s">
        <v>57</v>
      </c>
      <c r="X17" s="6" t="str">
        <f>IF(TRIM(RawCustomerSales_[[#This Row],[Order Status]]&amp;"")="","Missing",PROPER(TRIM(RawCustomerSales_[[#This Row],[Order Status]])))</f>
        <v>Pending</v>
      </c>
      <c r="Y17" s="6" t="str">
        <f>IF(OR(
RawCustomerSales_[[#This Row],[Blank values]]="Missing",
RawCustomerSales_[[#This Row],[invalid quantity]]="Invalid",
RawCustomerSales_[[#This Row],[unit price status]]="Invalid",
RawCustomerSales_[[#This Row],[unit price status]]="Missing"
),"Needs Review","Clean")</f>
        <v>Clean</v>
      </c>
    </row>
    <row r="18" spans="1:25" x14ac:dyDescent="0.3">
      <c r="A18" t="s">
        <v>132</v>
      </c>
      <c r="B18" t="str">
        <f>IF(COUNTIF(RawCustomerSales_[Customer ID],RawCustomerSales_[[#This Row],[Customer ID]])&gt;1,"Duplicate","Unique")</f>
        <v>Unique</v>
      </c>
      <c r="C18" t="s">
        <v>133</v>
      </c>
      <c r="D18" t="s">
        <v>134</v>
      </c>
      <c r="E18" t="str">
        <f>IF(RawCustomerSales_[[#This Row],[Email]]="","missing","available")</f>
        <v>available</v>
      </c>
      <c r="F18" s="5" t="s">
        <v>135</v>
      </c>
      <c r="G18" t="str">
        <f>IF(RawCustomerSales_[[#This Row],[Phone]]="","missing","available")</f>
        <v>available</v>
      </c>
      <c r="H18" t="s">
        <v>287</v>
      </c>
      <c r="I18" t="s">
        <v>20</v>
      </c>
      <c r="J18" t="str">
        <f>IF(OR(RawCustomerSales_[[#This Row],[Gender]]="M",RawCustomerSales_[[#This Row],[Gender]]="male",RawCustomerSales_[[#This Row],[Gender]]="MALE"),"Male","Female")</f>
        <v>Male</v>
      </c>
      <c r="K18" t="s">
        <v>64</v>
      </c>
      <c r="L18" t="str">
        <f>PROPER(TRIM(RawCustomerSales_[[#This Row],[Product]]))</f>
        <v>Printer</v>
      </c>
      <c r="M18" t="s">
        <v>65</v>
      </c>
      <c r="N18" t="s">
        <v>276</v>
      </c>
      <c r="O18" t="str">
        <f>IF(TRIM(RawCustomerSales_[[#This Row],[Quantity]]&amp;"")="","Missing",IF(VALUE(RawCustomerSales_[[#This Row],[Quantity]])&lt;=0,"Invalid","Valid"))</f>
        <v>Valid</v>
      </c>
      <c r="P18" t="s">
        <v>337</v>
      </c>
      <c r="Q18" t="str">
        <f>IF(TRIM(RawCustomerSales_[[#This Row],[unit price]]&amp;"")="","Missing",IF(IFERROR(VALUE(RawCustomerSales_[[#This Row],[unit price]]),0)&lt;=0,"Invalid","Valid"))</f>
        <v>Valid</v>
      </c>
      <c r="R18" t="s">
        <v>337</v>
      </c>
      <c r="S18" t="s">
        <v>285</v>
      </c>
      <c r="T18" t="s">
        <v>338</v>
      </c>
      <c r="U18" t="s">
        <v>46</v>
      </c>
      <c r="V18" t="str">
        <f>IF(TRIM(RawCustomerSales_[[#This Row],[Payment Mode]]&amp;"")="","Missing",IF(UPPER(TRIM(RawCustomerSales_[[#This Row],[Payment Mode]]))="UPI","UPI",PROPER(TRIM(RawCustomerSales_[[#This Row],[Payment Mode]]))))</f>
        <v>Cash</v>
      </c>
      <c r="W18" t="s">
        <v>57</v>
      </c>
      <c r="X18" s="6" t="str">
        <f>IF(TRIM(RawCustomerSales_[[#This Row],[Order Status]]&amp;"")="","Missing",PROPER(TRIM(RawCustomerSales_[[#This Row],[Order Status]])))</f>
        <v>Pending</v>
      </c>
      <c r="Y18" s="6" t="str">
        <f>IF(OR(
RawCustomerSales_[[#This Row],[Blank values]]="Missing",
RawCustomerSales_[[#This Row],[invalid quantity]]="Invalid",
RawCustomerSales_[[#This Row],[unit price status]]="Invalid",
RawCustomerSales_[[#This Row],[unit price status]]="Missing"
),"Needs Review","Clean")</f>
        <v>Clean</v>
      </c>
    </row>
    <row r="19" spans="1:25" x14ac:dyDescent="0.3">
      <c r="A19" t="s">
        <v>137</v>
      </c>
      <c r="B19" t="str">
        <f>IF(COUNTIF(RawCustomerSales_[Customer ID],RawCustomerSales_[[#This Row],[Customer ID]])&gt;1,"Duplicate","Unique")</f>
        <v>Unique</v>
      </c>
      <c r="C19" t="s">
        <v>138</v>
      </c>
      <c r="D19" t="s">
        <v>139</v>
      </c>
      <c r="E19" t="str">
        <f>IF(RawCustomerSales_[[#This Row],[Email]]="","missing","available")</f>
        <v>available</v>
      </c>
      <c r="F19" s="5" t="s">
        <v>140</v>
      </c>
      <c r="G19" t="str">
        <f>IF(RawCustomerSales_[[#This Row],[Phone]]="","missing","available")</f>
        <v>available</v>
      </c>
      <c r="H19" t="s">
        <v>51</v>
      </c>
      <c r="I19" t="s">
        <v>20</v>
      </c>
      <c r="J19" t="str">
        <f>IF(OR(RawCustomerSales_[[#This Row],[Gender]]="M",RawCustomerSales_[[#This Row],[Gender]]="male",RawCustomerSales_[[#This Row],[Gender]]="MALE"),"Male","Female")</f>
        <v>Male</v>
      </c>
      <c r="K19" t="s">
        <v>75</v>
      </c>
      <c r="L19" t="str">
        <f>PROPER(TRIM(RawCustomerSales_[[#This Row],[Product]]))</f>
        <v>Headphones</v>
      </c>
      <c r="M19" t="s">
        <v>33</v>
      </c>
      <c r="N19" t="s">
        <v>299</v>
      </c>
      <c r="O19" t="str">
        <f>IF(TRIM(RawCustomerSales_[[#This Row],[Quantity]]&amp;"")="","Missing",IF(VALUE(RawCustomerSales_[[#This Row],[Quantity]])&lt;=0,"Invalid","Valid"))</f>
        <v>Invalid</v>
      </c>
      <c r="P19" t="s">
        <v>339</v>
      </c>
      <c r="Q19" t="str">
        <f>IF(TRIM(RawCustomerSales_[[#This Row],[unit price]]&amp;"")="","Missing",IF(IFERROR(VALUE(RawCustomerSales_[[#This Row],[unit price]]),0)&lt;=0,"Invalid","Valid"))</f>
        <v>Valid</v>
      </c>
      <c r="R19" t="s">
        <v>299</v>
      </c>
      <c r="S19" t="s">
        <v>291</v>
      </c>
      <c r="T19" t="s">
        <v>141</v>
      </c>
      <c r="U19" t="s">
        <v>46</v>
      </c>
      <c r="V19" t="str">
        <f>IF(TRIM(RawCustomerSales_[[#This Row],[Payment Mode]]&amp;"")="","Missing",IF(UPPER(TRIM(RawCustomerSales_[[#This Row],[Payment Mode]]))="UPI","UPI",PROPER(TRIM(RawCustomerSales_[[#This Row],[Payment Mode]]))))</f>
        <v>Cash</v>
      </c>
      <c r="W19" t="s">
        <v>78</v>
      </c>
      <c r="X19" s="6" t="str">
        <f>IF(TRIM(RawCustomerSales_[[#This Row],[Order Status]]&amp;"")="","Missing",PROPER(TRIM(RawCustomerSales_[[#This Row],[Order Status]])))</f>
        <v>Cancelled</v>
      </c>
      <c r="Y19" s="6" t="str">
        <f>IF(OR(
RawCustomerSales_[[#This Row],[Blank values]]="Missing",
RawCustomerSales_[[#This Row],[invalid quantity]]="Invalid",
RawCustomerSales_[[#This Row],[unit price status]]="Invalid",
RawCustomerSales_[[#This Row],[unit price status]]="Missing"
),"Needs Review","Clean")</f>
        <v>Needs Review</v>
      </c>
    </row>
    <row r="20" spans="1:25" x14ac:dyDescent="0.3">
      <c r="A20" t="s">
        <v>142</v>
      </c>
      <c r="B20" t="str">
        <f>IF(COUNTIF(RawCustomerSales_[Customer ID],RawCustomerSales_[[#This Row],[Customer ID]])&gt;1,"Duplicate","Unique")</f>
        <v>Unique</v>
      </c>
      <c r="C20" t="s">
        <v>340</v>
      </c>
      <c r="D20" t="s">
        <v>144</v>
      </c>
      <c r="E20" t="str">
        <f>IF(RawCustomerSales_[[#This Row],[Email]]="","missing","available")</f>
        <v>available</v>
      </c>
      <c r="F20" s="5" t="s">
        <v>145</v>
      </c>
      <c r="G20" t="str">
        <f>IF(RawCustomerSales_[[#This Row],[Phone]]="","missing","available")</f>
        <v>available</v>
      </c>
      <c r="H20" t="s">
        <v>19</v>
      </c>
      <c r="I20" t="s">
        <v>20</v>
      </c>
      <c r="J20" t="str">
        <f>IF(OR(RawCustomerSales_[[#This Row],[Gender]]="M",RawCustomerSales_[[#This Row],[Gender]]="male",RawCustomerSales_[[#This Row],[Gender]]="MALE"),"Male","Female")</f>
        <v>Male</v>
      </c>
      <c r="K20" t="s">
        <v>21</v>
      </c>
      <c r="L20" t="str">
        <f>PROPER(TRIM(RawCustomerSales_[[#This Row],[Product]]))</f>
        <v>Laptop</v>
      </c>
      <c r="M20" t="s">
        <v>65</v>
      </c>
      <c r="N20" t="s">
        <v>288</v>
      </c>
      <c r="O20" t="str">
        <f>IF(TRIM(RawCustomerSales_[[#This Row],[Quantity]]&amp;"")="","Missing",IF(VALUE(RawCustomerSales_[[#This Row],[Quantity]])&lt;=0,"Invalid","Valid"))</f>
        <v>Valid</v>
      </c>
      <c r="P20" t="s">
        <v>341</v>
      </c>
      <c r="Q20" t="str">
        <f>IF(TRIM(RawCustomerSales_[[#This Row],[unit price]]&amp;"")="","Missing",IF(IFERROR(VALUE(RawCustomerSales_[[#This Row],[unit price]]),0)&lt;=0,"Invalid","Valid"))</f>
        <v>Valid</v>
      </c>
      <c r="R20" t="s">
        <v>342</v>
      </c>
      <c r="S20" t="s">
        <v>278</v>
      </c>
      <c r="T20" t="s">
        <v>343</v>
      </c>
      <c r="U20" t="s">
        <v>67</v>
      </c>
      <c r="V20" t="str">
        <f>IF(TRIM(RawCustomerSales_[[#This Row],[Payment Mode]]&amp;"")="","Missing",IF(UPPER(TRIM(RawCustomerSales_[[#This Row],[Payment Mode]]))="UPI","UPI",PROPER(TRIM(RawCustomerSales_[[#This Row],[Payment Mode]]))))</f>
        <v>Card</v>
      </c>
      <c r="W20" t="s">
        <v>25</v>
      </c>
      <c r="X20" s="6" t="str">
        <f>IF(TRIM(RawCustomerSales_[[#This Row],[Order Status]]&amp;"")="","Missing",PROPER(TRIM(RawCustomerSales_[[#This Row],[Order Status]])))</f>
        <v>Delivered</v>
      </c>
      <c r="Y20" s="6" t="str">
        <f>IF(OR(
RawCustomerSales_[[#This Row],[Blank values]]="Missing",
RawCustomerSales_[[#This Row],[invalid quantity]]="Invalid",
RawCustomerSales_[[#This Row],[unit price status]]="Invalid",
RawCustomerSales_[[#This Row],[unit price status]]="Missing"
),"Needs Review","Clean")</f>
        <v>Clean</v>
      </c>
    </row>
    <row r="21" spans="1:25" x14ac:dyDescent="0.3">
      <c r="A21" t="s">
        <v>147</v>
      </c>
      <c r="B21" t="str">
        <f>IF(COUNTIF(RawCustomerSales_[Customer ID],RawCustomerSales_[[#This Row],[Customer ID]])&gt;1,"Duplicate","Unique")</f>
        <v>Unique</v>
      </c>
      <c r="C21" t="s">
        <v>148</v>
      </c>
      <c r="D21" t="s">
        <v>149</v>
      </c>
      <c r="E21" t="str">
        <f>IF(RawCustomerSales_[[#This Row],[Email]]="","missing","available")</f>
        <v>available</v>
      </c>
      <c r="F21" s="5" t="s">
        <v>150</v>
      </c>
      <c r="G21" t="str">
        <f>IF(RawCustomerSales_[[#This Row],[Phone]]="","missing","available")</f>
        <v>available</v>
      </c>
      <c r="H21" t="s">
        <v>30</v>
      </c>
      <c r="I21" t="s">
        <v>52</v>
      </c>
      <c r="J21" t="str">
        <f>IF(OR(RawCustomerSales_[[#This Row],[Gender]]="M",RawCustomerSales_[[#This Row],[Gender]]="male",RawCustomerSales_[[#This Row],[Gender]]="MALE"),"Male","Female")</f>
        <v>Male</v>
      </c>
      <c r="K21" t="s">
        <v>32</v>
      </c>
      <c r="L21" t="str">
        <f>PROPER(TRIM(RawCustomerSales_[[#This Row],[Product]]))</f>
        <v>Mouse</v>
      </c>
      <c r="M21" t="s">
        <v>33</v>
      </c>
      <c r="N21" t="s">
        <v>294</v>
      </c>
      <c r="O21" t="str">
        <f>IF(TRIM(RawCustomerSales_[[#This Row],[Quantity]]&amp;"")="","Missing",IF(VALUE(RawCustomerSales_[[#This Row],[Quantity]])&lt;=0,"Invalid","Valid"))</f>
        <v>Valid</v>
      </c>
      <c r="P21" t="s">
        <v>344</v>
      </c>
      <c r="Q21" t="str">
        <f>IF(TRIM(RawCustomerSales_[[#This Row],[unit price]]&amp;"")="","Missing",IF(IFERROR(VALUE(RawCustomerSales_[[#This Row],[unit price]]),0)&lt;=0,"Invalid","Valid"))</f>
        <v>Valid</v>
      </c>
      <c r="R21" t="s">
        <v>345</v>
      </c>
      <c r="S21" t="s">
        <v>285</v>
      </c>
      <c r="T21" t="s">
        <v>346</v>
      </c>
      <c r="U21" t="s">
        <v>67</v>
      </c>
      <c r="V21" t="str">
        <f>IF(TRIM(RawCustomerSales_[[#This Row],[Payment Mode]]&amp;"")="","Missing",IF(UPPER(TRIM(RawCustomerSales_[[#This Row],[Payment Mode]]))="UPI","UPI",PROPER(TRIM(RawCustomerSales_[[#This Row],[Payment Mode]]))))</f>
        <v>Card</v>
      </c>
      <c r="W21" t="s">
        <v>25</v>
      </c>
      <c r="X21" s="6" t="str">
        <f>IF(TRIM(RawCustomerSales_[[#This Row],[Order Status]]&amp;"")="","Missing",PROPER(TRIM(RawCustomerSales_[[#This Row],[Order Status]])))</f>
        <v>Delivered</v>
      </c>
      <c r="Y21" s="6" t="str">
        <f>IF(OR(
RawCustomerSales_[[#This Row],[Blank values]]="Missing",
RawCustomerSales_[[#This Row],[invalid quantity]]="Invalid",
RawCustomerSales_[[#This Row],[unit price status]]="Invalid",
RawCustomerSales_[[#This Row],[unit price status]]="Missing"
),"Needs Review","Clean")</f>
        <v>Clean</v>
      </c>
    </row>
    <row r="22" spans="1:25" x14ac:dyDescent="0.3">
      <c r="A22" t="s">
        <v>152</v>
      </c>
      <c r="B22" t="str">
        <f>IF(COUNTIF(RawCustomerSales_[Customer ID],RawCustomerSales_[[#This Row],[Customer ID]])&gt;1,"Duplicate","Unique")</f>
        <v>Unique</v>
      </c>
      <c r="C22" t="s">
        <v>153</v>
      </c>
      <c r="D22" t="s">
        <v>154</v>
      </c>
      <c r="E22" t="str">
        <f>IF(RawCustomerSales_[[#This Row],[Email]]="","missing","available")</f>
        <v>available</v>
      </c>
      <c r="F22" s="5" t="s">
        <v>155</v>
      </c>
      <c r="G22" t="str">
        <f>IF(RawCustomerSales_[[#This Row],[Phone]]="","missing","available")</f>
        <v>available</v>
      </c>
      <c r="H22" t="s">
        <v>51</v>
      </c>
      <c r="I22" t="s">
        <v>63</v>
      </c>
      <c r="J22" t="str">
        <f>IF(OR(RawCustomerSales_[[#This Row],[Gender]]="M",RawCustomerSales_[[#This Row],[Gender]]="male",RawCustomerSales_[[#This Row],[Gender]]="MALE"),"Male","Female")</f>
        <v>Female</v>
      </c>
      <c r="K22" t="s">
        <v>43</v>
      </c>
      <c r="L22" t="str">
        <f>PROPER(TRIM(RawCustomerSales_[[#This Row],[Product]]))</f>
        <v>Keyboard</v>
      </c>
      <c r="M22" t="s">
        <v>33</v>
      </c>
      <c r="N22" t="s">
        <v>326</v>
      </c>
      <c r="O22" t="str">
        <f>IF(TRIM(RawCustomerSales_[[#This Row],[Quantity]]&amp;"")="","Missing",IF(VALUE(RawCustomerSales_[[#This Row],[Quantity]])&lt;=0,"Invalid","Valid"))</f>
        <v>Valid</v>
      </c>
      <c r="P22" t="s">
        <v>347</v>
      </c>
      <c r="Q22" t="str">
        <f>IF(TRIM(RawCustomerSales_[[#This Row],[unit price]]&amp;"")="","Missing",IF(IFERROR(VALUE(RawCustomerSales_[[#This Row],[unit price]]),0)&lt;=0,"Invalid","Valid"))</f>
        <v>Valid</v>
      </c>
      <c r="R22" t="s">
        <v>348</v>
      </c>
      <c r="S22" t="s">
        <v>278</v>
      </c>
      <c r="T22" t="s">
        <v>349</v>
      </c>
      <c r="U22" t="s">
        <v>86</v>
      </c>
      <c r="V22" t="str">
        <f>IF(TRIM(RawCustomerSales_[[#This Row],[Payment Mode]]&amp;"")="","Missing",IF(UPPER(TRIM(RawCustomerSales_[[#This Row],[Payment Mode]]))="UPI","UPI",PROPER(TRIM(RawCustomerSales_[[#This Row],[Payment Mode]]))))</f>
        <v>Net Banking</v>
      </c>
      <c r="W22" t="s">
        <v>25</v>
      </c>
      <c r="X22" s="6" t="str">
        <f>IF(TRIM(RawCustomerSales_[[#This Row],[Order Status]]&amp;"")="","Missing",PROPER(TRIM(RawCustomerSales_[[#This Row],[Order Status]])))</f>
        <v>Delivered</v>
      </c>
      <c r="Y22" s="6" t="str">
        <f>IF(OR(
RawCustomerSales_[[#This Row],[Blank values]]="Missing",
RawCustomerSales_[[#This Row],[invalid quantity]]="Invalid",
RawCustomerSales_[[#This Row],[unit price status]]="Invalid",
RawCustomerSales_[[#This Row],[unit price status]]="Missing"
),"Needs Review","Clean")</f>
        <v>Clean</v>
      </c>
    </row>
    <row r="23" spans="1:25" x14ac:dyDescent="0.3">
      <c r="A23" t="s">
        <v>157</v>
      </c>
      <c r="B23" t="str">
        <f>IF(COUNTIF(RawCustomerSales_[Customer ID],RawCustomerSales_[[#This Row],[Customer ID]])&gt;1,"Duplicate","Unique")</f>
        <v>Unique</v>
      </c>
      <c r="C23" t="s">
        <v>350</v>
      </c>
      <c r="D23" t="s">
        <v>159</v>
      </c>
      <c r="E23" t="str">
        <f>IF(RawCustomerSales_[[#This Row],[Email]]="","missing","available")</f>
        <v>available</v>
      </c>
      <c r="F23" s="5" t="s">
        <v>160</v>
      </c>
      <c r="G23" t="str">
        <f>IF(RawCustomerSales_[[#This Row],[Phone]]="","missing","available")</f>
        <v>available</v>
      </c>
      <c r="H23" t="s">
        <v>19</v>
      </c>
      <c r="I23" t="s">
        <v>63</v>
      </c>
      <c r="J23" t="str">
        <f>IF(OR(RawCustomerSales_[[#This Row],[Gender]]="M",RawCustomerSales_[[#This Row],[Gender]]="male",RawCustomerSales_[[#This Row],[Gender]]="MALE"),"Male","Female")</f>
        <v>Female</v>
      </c>
      <c r="K23" t="s">
        <v>53</v>
      </c>
      <c r="L23" t="str">
        <f>PROPER(TRIM(RawCustomerSales_[[#This Row],[Product]]))</f>
        <v>Monitor</v>
      </c>
      <c r="M23" t="s">
        <v>65</v>
      </c>
      <c r="N23" t="s">
        <v>351</v>
      </c>
      <c r="O23" t="str">
        <f>IF(TRIM(RawCustomerSales_[[#This Row],[Quantity]]&amp;"")="","Missing",IF(VALUE(RawCustomerSales_[[#This Row],[Quantity]])&lt;=0,"Invalid","Valid"))</f>
        <v>Invalid</v>
      </c>
      <c r="P23" t="s">
        <v>352</v>
      </c>
      <c r="Q23" t="str">
        <f>IF(TRIM(RawCustomerSales_[[#This Row],[unit price]]&amp;"")="","Missing",IF(IFERROR(VALUE(RawCustomerSales_[[#This Row],[unit price]]),0)&lt;=0,"Invalid","Valid"))</f>
        <v>Valid</v>
      </c>
      <c r="R23" t="s">
        <v>353</v>
      </c>
      <c r="S23" t="s">
        <v>285</v>
      </c>
      <c r="T23" t="s">
        <v>161</v>
      </c>
      <c r="U23" t="s">
        <v>280</v>
      </c>
      <c r="V23" t="str">
        <f>IF(TRIM(RawCustomerSales_[[#This Row],[Payment Mode]]&amp;"")="","Missing",IF(UPPER(TRIM(RawCustomerSales_[[#This Row],[Payment Mode]]))="UPI","UPI",PROPER(TRIM(RawCustomerSales_[[#This Row],[Payment Mode]]))))</f>
        <v>UPI</v>
      </c>
      <c r="W23" t="s">
        <v>57</v>
      </c>
      <c r="X23" s="6" t="str">
        <f>IF(TRIM(RawCustomerSales_[[#This Row],[Order Status]]&amp;"")="","Missing",PROPER(TRIM(RawCustomerSales_[[#This Row],[Order Status]])))</f>
        <v>Pending</v>
      </c>
      <c r="Y23" s="6" t="str">
        <f>IF(OR(
RawCustomerSales_[[#This Row],[Blank values]]="Missing",
RawCustomerSales_[[#This Row],[invalid quantity]]="Invalid",
RawCustomerSales_[[#This Row],[unit price status]]="Invalid",
RawCustomerSales_[[#This Row],[unit price status]]="Missing"
),"Needs Review","Clean")</f>
        <v>Needs Review</v>
      </c>
    </row>
    <row r="24" spans="1:25" x14ac:dyDescent="0.3">
      <c r="A24" t="s">
        <v>162</v>
      </c>
      <c r="B24" t="str">
        <f>IF(COUNTIF(RawCustomerSales_[Customer ID],RawCustomerSales_[[#This Row],[Customer ID]])&gt;1,"Duplicate","Unique")</f>
        <v>Unique</v>
      </c>
      <c r="C24" t="s">
        <v>163</v>
      </c>
      <c r="D24" t="s">
        <v>164</v>
      </c>
      <c r="E24" t="str">
        <f>IF(RawCustomerSales_[[#This Row],[Email]]="","missing","available")</f>
        <v>available</v>
      </c>
      <c r="F24" s="5" t="s">
        <v>165</v>
      </c>
      <c r="G24" t="str">
        <f>IF(RawCustomerSales_[[#This Row],[Phone]]="","missing","available")</f>
        <v>available</v>
      </c>
      <c r="H24" t="s">
        <v>30</v>
      </c>
      <c r="I24" t="s">
        <v>63</v>
      </c>
      <c r="J24" t="str">
        <f>IF(OR(RawCustomerSales_[[#This Row],[Gender]]="M",RawCustomerSales_[[#This Row],[Gender]]="male",RawCustomerSales_[[#This Row],[Gender]]="MALE"),"Male","Female")</f>
        <v>Female</v>
      </c>
      <c r="K24" t="s">
        <v>64</v>
      </c>
      <c r="L24" t="str">
        <f>PROPER(TRIM(RawCustomerSales_[[#This Row],[Product]]))</f>
        <v>Printer</v>
      </c>
      <c r="M24" t="s">
        <v>65</v>
      </c>
      <c r="N24" t="s">
        <v>306</v>
      </c>
      <c r="O24" t="str">
        <f>IF(TRIM(RawCustomerSales_[[#This Row],[Quantity]]&amp;"")="","Missing",IF(VALUE(RawCustomerSales_[[#This Row],[Quantity]])&lt;=0,"Invalid","Valid"))</f>
        <v>Valid</v>
      </c>
      <c r="P24" t="s">
        <v>354</v>
      </c>
      <c r="Q24" t="str">
        <f>IF(TRIM(RawCustomerSales_[[#This Row],[unit price]]&amp;"")="","Missing",IF(IFERROR(VALUE(RawCustomerSales_[[#This Row],[unit price]]),0)&lt;=0,"Invalid","Valid"))</f>
        <v>Valid</v>
      </c>
      <c r="R24" t="s">
        <v>355</v>
      </c>
      <c r="S24" t="s">
        <v>291</v>
      </c>
      <c r="T24" t="s">
        <v>356</v>
      </c>
      <c r="U24" t="s">
        <v>280</v>
      </c>
      <c r="V24" t="str">
        <f>IF(TRIM(RawCustomerSales_[[#This Row],[Payment Mode]]&amp;"")="","Missing",IF(UPPER(TRIM(RawCustomerSales_[[#This Row],[Payment Mode]]))="UPI","UPI",PROPER(TRIM(RawCustomerSales_[[#This Row],[Payment Mode]]))))</f>
        <v>UPI</v>
      </c>
      <c r="W24" t="s">
        <v>57</v>
      </c>
      <c r="X24" s="6" t="str">
        <f>IF(TRIM(RawCustomerSales_[[#This Row],[Order Status]]&amp;"")="","Missing",PROPER(TRIM(RawCustomerSales_[[#This Row],[Order Status]])))</f>
        <v>Pending</v>
      </c>
      <c r="Y24" s="6" t="str">
        <f>IF(OR(
RawCustomerSales_[[#This Row],[Blank values]]="Missing",
RawCustomerSales_[[#This Row],[invalid quantity]]="Invalid",
RawCustomerSales_[[#This Row],[unit price status]]="Invalid",
RawCustomerSales_[[#This Row],[unit price status]]="Missing"
),"Needs Review","Clean")</f>
        <v>Clean</v>
      </c>
    </row>
    <row r="25" spans="1:25" x14ac:dyDescent="0.3">
      <c r="A25" t="s">
        <v>167</v>
      </c>
      <c r="B25" t="str">
        <f>IF(COUNTIF(RawCustomerSales_[Customer ID],RawCustomerSales_[[#This Row],[Customer ID]])&gt;1,"Duplicate","Unique")</f>
        <v>Unique</v>
      </c>
      <c r="C25" t="s">
        <v>168</v>
      </c>
      <c r="D25" t="s">
        <v>169</v>
      </c>
      <c r="E25" t="str">
        <f>IF(RawCustomerSales_[[#This Row],[Email]]="","missing","available")</f>
        <v>available</v>
      </c>
      <c r="F25" s="5" t="s">
        <v>170</v>
      </c>
      <c r="G25" t="str">
        <f>IF(RawCustomerSales_[[#This Row],[Phone]]="","missing","available")</f>
        <v>available</v>
      </c>
      <c r="H25" t="s">
        <v>287</v>
      </c>
      <c r="I25" t="s">
        <v>91</v>
      </c>
      <c r="J25" t="str">
        <f>IF(OR(RawCustomerSales_[[#This Row],[Gender]]="M",RawCustomerSales_[[#This Row],[Gender]]="male",RawCustomerSales_[[#This Row],[Gender]]="MALE"),"Male","Female")</f>
        <v>Female</v>
      </c>
      <c r="K25" t="s">
        <v>75</v>
      </c>
      <c r="L25" t="str">
        <f>PROPER(TRIM(RawCustomerSales_[[#This Row],[Product]]))</f>
        <v>Headphones</v>
      </c>
      <c r="M25" t="s">
        <v>33</v>
      </c>
      <c r="N25" t="s">
        <v>311</v>
      </c>
      <c r="O25" t="str">
        <f>IF(TRIM(RawCustomerSales_[[#This Row],[Quantity]]&amp;"")="","Missing",IF(VALUE(RawCustomerSales_[[#This Row],[Quantity]])&lt;=0,"Invalid","Valid"))</f>
        <v>Valid</v>
      </c>
      <c r="P25" t="s">
        <v>357</v>
      </c>
      <c r="Q25" t="str">
        <f>IF(TRIM(RawCustomerSales_[[#This Row],[unit price]]&amp;"")="","Missing",IF(IFERROR(VALUE(RawCustomerSales_[[#This Row],[unit price]]),0)&lt;=0,"Invalid","Valid"))</f>
        <v>Valid</v>
      </c>
      <c r="R25" t="s">
        <v>358</v>
      </c>
      <c r="S25" t="s">
        <v>278</v>
      </c>
      <c r="T25" t="s">
        <v>359</v>
      </c>
      <c r="U25" t="s">
        <v>46</v>
      </c>
      <c r="V25" t="str">
        <f>IF(TRIM(RawCustomerSales_[[#This Row],[Payment Mode]]&amp;"")="","Missing",IF(UPPER(TRIM(RawCustomerSales_[[#This Row],[Payment Mode]]))="UPI","UPI",PROPER(TRIM(RawCustomerSales_[[#This Row],[Payment Mode]]))))</f>
        <v>Cash</v>
      </c>
      <c r="W25" t="s">
        <v>78</v>
      </c>
      <c r="X25" s="6" t="str">
        <f>IF(TRIM(RawCustomerSales_[[#This Row],[Order Status]]&amp;"")="","Missing",PROPER(TRIM(RawCustomerSales_[[#This Row],[Order Status]])))</f>
        <v>Cancelled</v>
      </c>
      <c r="Y25" s="6" t="str">
        <f>IF(OR(
RawCustomerSales_[[#This Row],[Blank values]]="Missing",
RawCustomerSales_[[#This Row],[invalid quantity]]="Invalid",
RawCustomerSales_[[#This Row],[unit price status]]="Invalid",
RawCustomerSales_[[#This Row],[unit price status]]="Missing"
),"Needs Review","Clean")</f>
        <v>Clean</v>
      </c>
    </row>
    <row r="26" spans="1:25" x14ac:dyDescent="0.3">
      <c r="A26" t="s">
        <v>172</v>
      </c>
      <c r="B26" t="str">
        <f>IF(COUNTIF(RawCustomerSales_[Customer ID],RawCustomerSales_[[#This Row],[Customer ID]])&gt;1,"Duplicate","Unique")</f>
        <v>Unique</v>
      </c>
      <c r="C26" t="s">
        <v>173</v>
      </c>
      <c r="D26" t="s">
        <v>174</v>
      </c>
      <c r="E26" t="str">
        <f>IF(RawCustomerSales_[[#This Row],[Email]]="","missing","available")</f>
        <v>available</v>
      </c>
      <c r="F26" s="5" t="s">
        <v>82</v>
      </c>
      <c r="G26" t="str">
        <f>IF(RawCustomerSales_[[#This Row],[Phone]]="","missing","available")</f>
        <v>available</v>
      </c>
      <c r="H26" t="s">
        <v>51</v>
      </c>
      <c r="I26" t="s">
        <v>20</v>
      </c>
      <c r="J26" t="str">
        <f>IF(OR(RawCustomerSales_[[#This Row],[Gender]]="M",RawCustomerSales_[[#This Row],[Gender]]="male",RawCustomerSales_[[#This Row],[Gender]]="MALE"),"Male","Female")</f>
        <v>Male</v>
      </c>
      <c r="K26" t="s">
        <v>21</v>
      </c>
      <c r="L26" t="str">
        <f>PROPER(TRIM(RawCustomerSales_[[#This Row],[Product]]))</f>
        <v>Laptop</v>
      </c>
      <c r="M26" t="s">
        <v>65</v>
      </c>
      <c r="N26" t="s">
        <v>276</v>
      </c>
      <c r="O26" t="str">
        <f>IF(TRIM(RawCustomerSales_[[#This Row],[Quantity]]&amp;"")="","Missing",IF(VALUE(RawCustomerSales_[[#This Row],[Quantity]])&lt;=0,"Invalid","Valid"))</f>
        <v>Valid</v>
      </c>
      <c r="P26" t="s">
        <v>360</v>
      </c>
      <c r="Q26" t="str">
        <f>IF(TRIM(RawCustomerSales_[[#This Row],[unit price]]&amp;"")="","Missing",IF(IFERROR(VALUE(RawCustomerSales_[[#This Row],[unit price]]),0)&lt;=0,"Invalid","Valid"))</f>
        <v>Valid</v>
      </c>
      <c r="R26" t="s">
        <v>360</v>
      </c>
      <c r="S26" t="s">
        <v>285</v>
      </c>
      <c r="T26" t="s">
        <v>361</v>
      </c>
      <c r="U26" t="s">
        <v>46</v>
      </c>
      <c r="V26" t="str">
        <f>IF(TRIM(RawCustomerSales_[[#This Row],[Payment Mode]]&amp;"")="","Missing",IF(UPPER(TRIM(RawCustomerSales_[[#This Row],[Payment Mode]]))="UPI","UPI",PROPER(TRIM(RawCustomerSales_[[#This Row],[Payment Mode]]))))</f>
        <v>Cash</v>
      </c>
      <c r="W26" t="s">
        <v>25</v>
      </c>
      <c r="X26" s="6" t="str">
        <f>IF(TRIM(RawCustomerSales_[[#This Row],[Order Status]]&amp;"")="","Missing",PROPER(TRIM(RawCustomerSales_[[#This Row],[Order Status]])))</f>
        <v>Delivered</v>
      </c>
      <c r="Y26" s="6" t="str">
        <f>IF(OR(
RawCustomerSales_[[#This Row],[Blank values]]="Missing",
RawCustomerSales_[[#This Row],[invalid quantity]]="Invalid",
RawCustomerSales_[[#This Row],[unit price status]]="Invalid",
RawCustomerSales_[[#This Row],[unit price status]]="Missing"
),"Needs Review","Clean")</f>
        <v>Clean</v>
      </c>
    </row>
    <row r="27" spans="1:25" x14ac:dyDescent="0.3">
      <c r="A27" t="s">
        <v>176</v>
      </c>
      <c r="B27" t="str">
        <f>IF(COUNTIF(RawCustomerSales_[Customer ID],RawCustomerSales_[[#This Row],[Customer ID]])&gt;1,"Duplicate","Unique")</f>
        <v>Unique</v>
      </c>
      <c r="C27" t="s">
        <v>177</v>
      </c>
      <c r="D27" t="s">
        <v>178</v>
      </c>
      <c r="E27" t="str">
        <f>IF(RawCustomerSales_[[#This Row],[Email]]="","missing","available")</f>
        <v>available</v>
      </c>
      <c r="F27" s="5" t="s">
        <v>179</v>
      </c>
      <c r="G27" t="str">
        <f>IF(RawCustomerSales_[[#This Row],[Phone]]="","missing","available")</f>
        <v>available</v>
      </c>
      <c r="H27" t="s">
        <v>19</v>
      </c>
      <c r="I27" t="s">
        <v>20</v>
      </c>
      <c r="J27" t="str">
        <f>IF(OR(RawCustomerSales_[[#This Row],[Gender]]="M",RawCustomerSales_[[#This Row],[Gender]]="male",RawCustomerSales_[[#This Row],[Gender]]="MALE"),"Male","Female")</f>
        <v>Male</v>
      </c>
      <c r="K27" t="s">
        <v>32</v>
      </c>
      <c r="L27" t="str">
        <f>PROPER(TRIM(RawCustomerSales_[[#This Row],[Product]]))</f>
        <v>Mouse</v>
      </c>
      <c r="M27" t="s">
        <v>33</v>
      </c>
      <c r="N27" t="s">
        <v>282</v>
      </c>
      <c r="O27" t="str">
        <f>IF(TRIM(RawCustomerSales_[[#This Row],[Quantity]]&amp;"")="","Missing",IF(VALUE(RawCustomerSales_[[#This Row],[Quantity]])&lt;=0,"Invalid","Valid"))</f>
        <v>Valid</v>
      </c>
      <c r="P27" t="s">
        <v>362</v>
      </c>
      <c r="Q27" t="str">
        <f>IF(TRIM(RawCustomerSales_[[#This Row],[unit price]]&amp;"")="","Missing",IF(IFERROR(VALUE(RawCustomerSales_[[#This Row],[unit price]]),0)&lt;=0,"Invalid","Valid"))</f>
        <v>Valid</v>
      </c>
      <c r="R27" t="s">
        <v>289</v>
      </c>
      <c r="S27" t="s">
        <v>278</v>
      </c>
      <c r="T27" t="s">
        <v>180</v>
      </c>
      <c r="U27" t="s">
        <v>67</v>
      </c>
      <c r="V27" t="str">
        <f>IF(TRIM(RawCustomerSales_[[#This Row],[Payment Mode]]&amp;"")="","Missing",IF(UPPER(TRIM(RawCustomerSales_[[#This Row],[Payment Mode]]))="UPI","UPI",PROPER(TRIM(RawCustomerSales_[[#This Row],[Payment Mode]]))))</f>
        <v>Card</v>
      </c>
      <c r="W27" t="s">
        <v>25</v>
      </c>
      <c r="X27" s="6" t="str">
        <f>IF(TRIM(RawCustomerSales_[[#This Row],[Order Status]]&amp;"")="","Missing",PROPER(TRIM(RawCustomerSales_[[#This Row],[Order Status]])))</f>
        <v>Delivered</v>
      </c>
      <c r="Y27" s="6" t="str">
        <f>IF(OR(
RawCustomerSales_[[#This Row],[Blank values]]="Missing",
RawCustomerSales_[[#This Row],[invalid quantity]]="Invalid",
RawCustomerSales_[[#This Row],[unit price status]]="Invalid",
RawCustomerSales_[[#This Row],[unit price status]]="Missing"
),"Needs Review","Clean")</f>
        <v>Clean</v>
      </c>
    </row>
    <row r="28" spans="1:25" x14ac:dyDescent="0.3">
      <c r="A28" t="s">
        <v>181</v>
      </c>
      <c r="B28" t="str">
        <f>IF(COUNTIF(RawCustomerSales_[Customer ID],RawCustomerSales_[[#This Row],[Customer ID]])&gt;1,"Duplicate","Unique")</f>
        <v>Unique</v>
      </c>
      <c r="C28" t="s">
        <v>363</v>
      </c>
      <c r="D28" t="s">
        <v>183</v>
      </c>
      <c r="E28" t="str">
        <f>IF(RawCustomerSales_[[#This Row],[Email]]="","missing","available")</f>
        <v>available</v>
      </c>
      <c r="F28" s="5" t="s">
        <v>184</v>
      </c>
      <c r="G28" t="str">
        <f>IF(RawCustomerSales_[[#This Row],[Phone]]="","missing","available")</f>
        <v>available</v>
      </c>
      <c r="H28" t="s">
        <v>30</v>
      </c>
      <c r="I28" t="s">
        <v>20</v>
      </c>
      <c r="J28" t="str">
        <f>IF(OR(RawCustomerSales_[[#This Row],[Gender]]="M",RawCustomerSales_[[#This Row],[Gender]]="male",RawCustomerSales_[[#This Row],[Gender]]="MALE"),"Male","Female")</f>
        <v>Male</v>
      </c>
      <c r="K28" t="s">
        <v>43</v>
      </c>
      <c r="L28" t="str">
        <f>PROPER(TRIM(RawCustomerSales_[[#This Row],[Product]]))</f>
        <v>Keyboard</v>
      </c>
      <c r="M28" t="s">
        <v>33</v>
      </c>
      <c r="N28" t="s">
        <v>288</v>
      </c>
      <c r="O28" t="str">
        <f>IF(TRIM(RawCustomerSales_[[#This Row],[Quantity]]&amp;"")="","Missing",IF(VALUE(RawCustomerSales_[[#This Row],[Quantity]])&lt;=0,"Invalid","Valid"))</f>
        <v>Valid</v>
      </c>
      <c r="P28" t="s">
        <v>364</v>
      </c>
      <c r="Q28" t="str">
        <f>IF(TRIM(RawCustomerSales_[[#This Row],[unit price]]&amp;"")="","Missing",IF(IFERROR(VALUE(RawCustomerSales_[[#This Row],[unit price]]),0)&lt;=0,"Invalid","Valid"))</f>
        <v>Valid</v>
      </c>
      <c r="R28" t="s">
        <v>365</v>
      </c>
      <c r="S28" t="s">
        <v>285</v>
      </c>
      <c r="T28" t="s">
        <v>366</v>
      </c>
      <c r="U28" t="s">
        <v>67</v>
      </c>
      <c r="V28" t="str">
        <f>IF(TRIM(RawCustomerSales_[[#This Row],[Payment Mode]]&amp;"")="","Missing",IF(UPPER(TRIM(RawCustomerSales_[[#This Row],[Payment Mode]]))="UPI","UPI",PROPER(TRIM(RawCustomerSales_[[#This Row],[Payment Mode]]))))</f>
        <v>Card</v>
      </c>
      <c r="W28" t="s">
        <v>25</v>
      </c>
      <c r="X28" s="6" t="str">
        <f>IF(TRIM(RawCustomerSales_[[#This Row],[Order Status]]&amp;"")="","Missing",PROPER(TRIM(RawCustomerSales_[[#This Row],[Order Status]])))</f>
        <v>Delivered</v>
      </c>
      <c r="Y28" s="6" t="str">
        <f>IF(OR(
RawCustomerSales_[[#This Row],[Blank values]]="Missing",
RawCustomerSales_[[#This Row],[invalid quantity]]="Invalid",
RawCustomerSales_[[#This Row],[unit price status]]="Invalid",
RawCustomerSales_[[#This Row],[unit price status]]="Missing"
),"Needs Review","Clean")</f>
        <v>Clean</v>
      </c>
    </row>
    <row r="29" spans="1:25" x14ac:dyDescent="0.3">
      <c r="A29" t="s">
        <v>186</v>
      </c>
      <c r="B29" t="str">
        <f>IF(COUNTIF(RawCustomerSales_[Customer ID],RawCustomerSales_[[#This Row],[Customer ID]])&gt;1,"Duplicate","Unique")</f>
        <v>Unique</v>
      </c>
      <c r="C29" t="s">
        <v>367</v>
      </c>
      <c r="D29" t="s">
        <v>188</v>
      </c>
      <c r="E29" t="str">
        <f>IF(RawCustomerSales_[[#This Row],[Email]]="","missing","available")</f>
        <v>available</v>
      </c>
      <c r="F29" s="5" t="s">
        <v>189</v>
      </c>
      <c r="G29" t="str">
        <f>IF(RawCustomerSales_[[#This Row],[Phone]]="","missing","available")</f>
        <v>available</v>
      </c>
      <c r="H29" t="s">
        <v>51</v>
      </c>
      <c r="I29" t="s">
        <v>52</v>
      </c>
      <c r="J29" t="str">
        <f>IF(OR(RawCustomerSales_[[#This Row],[Gender]]="M",RawCustomerSales_[[#This Row],[Gender]]="male",RawCustomerSales_[[#This Row],[Gender]]="MALE"),"Male","Female")</f>
        <v>Male</v>
      </c>
      <c r="K29" t="s">
        <v>53</v>
      </c>
      <c r="L29" t="str">
        <f>PROPER(TRIM(RawCustomerSales_[[#This Row],[Product]]))</f>
        <v>Monitor</v>
      </c>
      <c r="M29" t="s">
        <v>65</v>
      </c>
      <c r="N29" t="s">
        <v>294</v>
      </c>
      <c r="O29" t="str">
        <f>IF(TRIM(RawCustomerSales_[[#This Row],[Quantity]]&amp;"")="","Missing",IF(VALUE(RawCustomerSales_[[#This Row],[Quantity]])&lt;=0,"Invalid","Valid"))</f>
        <v>Valid</v>
      </c>
      <c r="P29" t="s">
        <v>368</v>
      </c>
      <c r="Q29" t="str">
        <f>IF(TRIM(RawCustomerSales_[[#This Row],[unit price]]&amp;"")="","Missing",IF(IFERROR(VALUE(RawCustomerSales_[[#This Row],[unit price]]),0)&lt;=0,"Invalid","Valid"))</f>
        <v>Valid</v>
      </c>
      <c r="R29" t="s">
        <v>369</v>
      </c>
      <c r="S29" t="s">
        <v>291</v>
      </c>
      <c r="T29" t="s">
        <v>370</v>
      </c>
      <c r="U29" t="s">
        <v>86</v>
      </c>
      <c r="V29" t="str">
        <f>IF(TRIM(RawCustomerSales_[[#This Row],[Payment Mode]]&amp;"")="","Missing",IF(UPPER(TRIM(RawCustomerSales_[[#This Row],[Payment Mode]]))="UPI","UPI",PROPER(TRIM(RawCustomerSales_[[#This Row],[Payment Mode]]))))</f>
        <v>Net Banking</v>
      </c>
      <c r="W29" t="s">
        <v>57</v>
      </c>
      <c r="X29" s="6" t="str">
        <f>IF(TRIM(RawCustomerSales_[[#This Row],[Order Status]]&amp;"")="","Missing",PROPER(TRIM(RawCustomerSales_[[#This Row],[Order Status]])))</f>
        <v>Pending</v>
      </c>
      <c r="Y29" s="6" t="str">
        <f>IF(OR(
RawCustomerSales_[[#This Row],[Blank values]]="Missing",
RawCustomerSales_[[#This Row],[invalid quantity]]="Invalid",
RawCustomerSales_[[#This Row],[unit price status]]="Invalid",
RawCustomerSales_[[#This Row],[unit price status]]="Missing"
),"Needs Review","Clean")</f>
        <v>Clean</v>
      </c>
    </row>
    <row r="30" spans="1:25" x14ac:dyDescent="0.3">
      <c r="A30" t="s">
        <v>191</v>
      </c>
      <c r="B30" t="str">
        <f>IF(COUNTIF(RawCustomerSales_[Customer ID],RawCustomerSales_[[#This Row],[Customer ID]])&gt;1,"Duplicate","Unique")</f>
        <v>Unique</v>
      </c>
      <c r="C30" t="s">
        <v>192</v>
      </c>
      <c r="D30" t="s">
        <v>193</v>
      </c>
      <c r="E30" t="str">
        <f>IF(RawCustomerSales_[[#This Row],[Email]]="","missing","available")</f>
        <v>available</v>
      </c>
      <c r="F30" s="5" t="s">
        <v>194</v>
      </c>
      <c r="G30" t="str">
        <f>IF(RawCustomerSales_[[#This Row],[Phone]]="","missing","available")</f>
        <v>available</v>
      </c>
      <c r="H30" t="s">
        <v>19</v>
      </c>
      <c r="I30" t="s">
        <v>63</v>
      </c>
      <c r="J30" t="str">
        <f>IF(OR(RawCustomerSales_[[#This Row],[Gender]]="M",RawCustomerSales_[[#This Row],[Gender]]="male",RawCustomerSales_[[#This Row],[Gender]]="MALE"),"Male","Female")</f>
        <v>Female</v>
      </c>
      <c r="K30" t="s">
        <v>64</v>
      </c>
      <c r="L30" t="str">
        <f>PROPER(TRIM(RawCustomerSales_[[#This Row],[Product]]))</f>
        <v>Printer</v>
      </c>
      <c r="M30" t="s">
        <v>65</v>
      </c>
      <c r="N30" t="s">
        <v>326</v>
      </c>
      <c r="O30" t="str">
        <f>IF(TRIM(RawCustomerSales_[[#This Row],[Quantity]]&amp;"")="","Missing",IF(VALUE(RawCustomerSales_[[#This Row],[Quantity]])&lt;=0,"Invalid","Valid"))</f>
        <v>Valid</v>
      </c>
      <c r="P30" t="s">
        <v>395</v>
      </c>
      <c r="Q30" t="str">
        <f>IF(TRIM(RawCustomerSales_[[#This Row],[unit price]]&amp;"")="","Missing",IF(IFERROR(VALUE(RawCustomerSales_[[#This Row],[unit price]]),0)&lt;=0,"Invalid","Valid"))</f>
        <v>Missing</v>
      </c>
      <c r="S30" t="s">
        <v>278</v>
      </c>
      <c r="T30" t="s">
        <v>279</v>
      </c>
      <c r="U30" t="s">
        <v>280</v>
      </c>
      <c r="V30" t="str">
        <f>IF(TRIM(RawCustomerSales_[[#This Row],[Payment Mode]]&amp;"")="","Missing",IF(UPPER(TRIM(RawCustomerSales_[[#This Row],[Payment Mode]]))="UPI","UPI",PROPER(TRIM(RawCustomerSales_[[#This Row],[Payment Mode]]))))</f>
        <v>UPI</v>
      </c>
      <c r="W30" t="s">
        <v>57</v>
      </c>
      <c r="X30" s="6" t="str">
        <f>IF(TRIM(RawCustomerSales_[[#This Row],[Order Status]]&amp;"")="","Missing",PROPER(TRIM(RawCustomerSales_[[#This Row],[Order Status]])))</f>
        <v>Pending</v>
      </c>
      <c r="Y30" s="6" t="str">
        <f>IF(OR(
RawCustomerSales_[[#This Row],[Blank values]]="Missing",
RawCustomerSales_[[#This Row],[invalid quantity]]="Invalid",
RawCustomerSales_[[#This Row],[unit price status]]="Invalid",
RawCustomerSales_[[#This Row],[unit price status]]="Missing"
),"Needs Review","Clean")</f>
        <v>Needs Review</v>
      </c>
    </row>
    <row r="31" spans="1:25" x14ac:dyDescent="0.3">
      <c r="A31" t="s">
        <v>195</v>
      </c>
      <c r="B31" t="str">
        <f>IF(COUNTIF(RawCustomerSales_[Customer ID],RawCustomerSales_[[#This Row],[Customer ID]])&gt;1,"Duplicate","Unique")</f>
        <v>Unique</v>
      </c>
      <c r="C31" t="s">
        <v>196</v>
      </c>
      <c r="D31" t="s">
        <v>197</v>
      </c>
      <c r="E31" t="str">
        <f>IF(RawCustomerSales_[[#This Row],[Email]]="","missing","available")</f>
        <v>available</v>
      </c>
      <c r="F31" s="5" t="s">
        <v>198</v>
      </c>
      <c r="G31" t="str">
        <f>IF(RawCustomerSales_[[#This Row],[Phone]]="","missing","available")</f>
        <v>available</v>
      </c>
      <c r="H31" t="s">
        <v>30</v>
      </c>
      <c r="I31" t="s">
        <v>63</v>
      </c>
      <c r="J31" t="str">
        <f>IF(OR(RawCustomerSales_[[#This Row],[Gender]]="M",RawCustomerSales_[[#This Row],[Gender]]="male",RawCustomerSales_[[#This Row],[Gender]]="MALE"),"Male","Female")</f>
        <v>Female</v>
      </c>
      <c r="K31" t="s">
        <v>75</v>
      </c>
      <c r="L31" t="str">
        <f>PROPER(TRIM(RawCustomerSales_[[#This Row],[Product]]))</f>
        <v>Headphones</v>
      </c>
      <c r="M31" t="s">
        <v>33</v>
      </c>
      <c r="N31" t="s">
        <v>302</v>
      </c>
      <c r="O31" t="str">
        <f>IF(TRIM(RawCustomerSales_[[#This Row],[Quantity]]&amp;"")="","Missing",IF(VALUE(RawCustomerSales_[[#This Row],[Quantity]])&lt;=0,"Invalid","Valid"))</f>
        <v>Valid</v>
      </c>
      <c r="P31" t="s">
        <v>371</v>
      </c>
      <c r="Q31" t="str">
        <f>IF(TRIM(RawCustomerSales_[[#This Row],[unit price]]&amp;"")="","Missing",IF(IFERROR(VALUE(RawCustomerSales_[[#This Row],[unit price]]),0)&lt;=0,"Invalid","Valid"))</f>
        <v>Valid</v>
      </c>
      <c r="R31" t="s">
        <v>300</v>
      </c>
      <c r="S31" t="s">
        <v>285</v>
      </c>
      <c r="T31" t="s">
        <v>34</v>
      </c>
      <c r="U31" t="s">
        <v>280</v>
      </c>
      <c r="V31" t="str">
        <f>IF(TRIM(RawCustomerSales_[[#This Row],[Payment Mode]]&amp;"")="","Missing",IF(UPPER(TRIM(RawCustomerSales_[[#This Row],[Payment Mode]]))="UPI","UPI",PROPER(TRIM(RawCustomerSales_[[#This Row],[Payment Mode]]))))</f>
        <v>UPI</v>
      </c>
      <c r="X31" s="6" t="str">
        <f>IF(TRIM(RawCustomerSales_[[#This Row],[Order Status]]&amp;"")="","Missing",PROPER(TRIM(RawCustomerSales_[[#This Row],[Order Status]])))</f>
        <v>Missing</v>
      </c>
      <c r="Y31" s="6" t="str">
        <f>IF(OR(
RawCustomerSales_[[#This Row],[Blank values]]="Missing",
RawCustomerSales_[[#This Row],[invalid quantity]]="Invalid",
RawCustomerSales_[[#This Row],[unit price status]]="Invalid",
RawCustomerSales_[[#This Row],[unit price status]]="Missing"
),"Needs Review","Clean")</f>
        <v>Clean</v>
      </c>
    </row>
    <row r="32" spans="1:25" x14ac:dyDescent="0.3">
      <c r="A32" t="s">
        <v>199</v>
      </c>
      <c r="B32" t="str">
        <f>IF(COUNTIF(RawCustomerSales_[Customer ID],RawCustomerSales_[[#This Row],[Customer ID]])&gt;1,"Duplicate","Unique")</f>
        <v>Unique</v>
      </c>
      <c r="C32" t="s">
        <v>200</v>
      </c>
      <c r="D32" t="s">
        <v>201</v>
      </c>
      <c r="E32" t="str">
        <f>IF(RawCustomerSales_[[#This Row],[Email]]="","missing","available")</f>
        <v>available</v>
      </c>
      <c r="F32" s="5" t="s">
        <v>202</v>
      </c>
      <c r="G32" t="str">
        <f>IF(RawCustomerSales_[[#This Row],[Phone]]="","missing","available")</f>
        <v>available</v>
      </c>
      <c r="H32" t="s">
        <v>287</v>
      </c>
      <c r="I32" t="s">
        <v>63</v>
      </c>
      <c r="J32" t="str">
        <f>IF(OR(RawCustomerSales_[[#This Row],[Gender]]="M",RawCustomerSales_[[#This Row],[Gender]]="male",RawCustomerSales_[[#This Row],[Gender]]="MALE"),"Male","Female")</f>
        <v>Female</v>
      </c>
      <c r="K32" t="s">
        <v>21</v>
      </c>
      <c r="L32" t="str">
        <f>PROPER(TRIM(RawCustomerSales_[[#This Row],[Product]]))</f>
        <v>Laptop</v>
      </c>
      <c r="M32" t="s">
        <v>65</v>
      </c>
      <c r="N32" t="s">
        <v>306</v>
      </c>
      <c r="O32" t="str">
        <f>IF(TRIM(RawCustomerSales_[[#This Row],[Quantity]]&amp;"")="","Missing",IF(VALUE(RawCustomerSales_[[#This Row],[Quantity]])&lt;=0,"Invalid","Valid"))</f>
        <v>Valid</v>
      </c>
      <c r="P32" t="s">
        <v>277</v>
      </c>
      <c r="Q32" t="str">
        <f>IF(TRIM(RawCustomerSales_[[#This Row],[unit price]]&amp;"")="","Missing",IF(IFERROR(VALUE(RawCustomerSales_[[#This Row],[unit price]]),0)&lt;=0,"Invalid","Valid"))</f>
        <v>Valid</v>
      </c>
      <c r="R32" t="s">
        <v>372</v>
      </c>
      <c r="S32" t="s">
        <v>278</v>
      </c>
      <c r="T32" t="s">
        <v>292</v>
      </c>
      <c r="U32" t="s">
        <v>46</v>
      </c>
      <c r="V32" t="str">
        <f>IF(TRIM(RawCustomerSales_[[#This Row],[Payment Mode]]&amp;"")="","Missing",IF(UPPER(TRIM(RawCustomerSales_[[#This Row],[Payment Mode]]))="UPI","UPI",PROPER(TRIM(RawCustomerSales_[[#This Row],[Payment Mode]]))))</f>
        <v>Cash</v>
      </c>
      <c r="W32" t="s">
        <v>25</v>
      </c>
      <c r="X32" s="6" t="str">
        <f>IF(TRIM(RawCustomerSales_[[#This Row],[Order Status]]&amp;"")="","Missing",PROPER(TRIM(RawCustomerSales_[[#This Row],[Order Status]])))</f>
        <v>Delivered</v>
      </c>
      <c r="Y32" s="6" t="str">
        <f>IF(OR(
RawCustomerSales_[[#This Row],[Blank values]]="Missing",
RawCustomerSales_[[#This Row],[invalid quantity]]="Invalid",
RawCustomerSales_[[#This Row],[unit price status]]="Invalid",
RawCustomerSales_[[#This Row],[unit price status]]="Missing"
),"Needs Review","Clean")</f>
        <v>Clean</v>
      </c>
    </row>
    <row r="33" spans="1:25" x14ac:dyDescent="0.3">
      <c r="A33" t="s">
        <v>203</v>
      </c>
      <c r="B33" t="str">
        <f>IF(COUNTIF(RawCustomerSales_[Customer ID],RawCustomerSales_[[#This Row],[Customer ID]])&gt;1,"Duplicate","Unique")</f>
        <v>Unique</v>
      </c>
      <c r="C33" t="s">
        <v>204</v>
      </c>
      <c r="D33" t="s">
        <v>205</v>
      </c>
      <c r="E33" t="str">
        <f>IF(RawCustomerSales_[[#This Row],[Email]]="","missing","available")</f>
        <v>available</v>
      </c>
      <c r="F33" s="5" t="s">
        <v>206</v>
      </c>
      <c r="G33" t="str">
        <f>IF(RawCustomerSales_[[#This Row],[Phone]]="","missing","available")</f>
        <v>available</v>
      </c>
      <c r="H33" t="s">
        <v>51</v>
      </c>
      <c r="I33" t="s">
        <v>91</v>
      </c>
      <c r="J33" t="str">
        <f>IF(OR(RawCustomerSales_[[#This Row],[Gender]]="M",RawCustomerSales_[[#This Row],[Gender]]="male",RawCustomerSales_[[#This Row],[Gender]]="MALE"),"Male","Female")</f>
        <v>Female</v>
      </c>
      <c r="K33" t="s">
        <v>32</v>
      </c>
      <c r="L33" t="str">
        <f>PROPER(TRIM(RawCustomerSales_[[#This Row],[Product]]))</f>
        <v>Mouse</v>
      </c>
      <c r="M33" t="s">
        <v>33</v>
      </c>
      <c r="N33" t="s">
        <v>311</v>
      </c>
      <c r="O33" t="str">
        <f>IF(TRIM(RawCustomerSales_[[#This Row],[Quantity]]&amp;"")="","Missing",IF(VALUE(RawCustomerSales_[[#This Row],[Quantity]])&lt;=0,"Invalid","Valid"))</f>
        <v>Valid</v>
      </c>
      <c r="P33" t="s">
        <v>283</v>
      </c>
      <c r="Q33" t="str">
        <f>IF(TRIM(RawCustomerSales_[[#This Row],[unit price]]&amp;"")="","Missing",IF(IFERROR(VALUE(RawCustomerSales_[[#This Row],[unit price]]),0)&lt;=0,"Invalid","Valid"))</f>
        <v>Valid</v>
      </c>
      <c r="R33" t="s">
        <v>348</v>
      </c>
      <c r="S33" t="s">
        <v>285</v>
      </c>
      <c r="T33" t="s">
        <v>297</v>
      </c>
      <c r="U33" t="s">
        <v>46</v>
      </c>
      <c r="V33" t="str">
        <f>IF(TRIM(RawCustomerSales_[[#This Row],[Payment Mode]]&amp;"")="","Missing",IF(UPPER(TRIM(RawCustomerSales_[[#This Row],[Payment Mode]]))="UPI","UPI",PROPER(TRIM(RawCustomerSales_[[#This Row],[Payment Mode]]))))</f>
        <v>Cash</v>
      </c>
      <c r="W33" t="s">
        <v>25</v>
      </c>
      <c r="X33" s="6" t="str">
        <f>IF(TRIM(RawCustomerSales_[[#This Row],[Order Status]]&amp;"")="","Missing",PROPER(TRIM(RawCustomerSales_[[#This Row],[Order Status]])))</f>
        <v>Delivered</v>
      </c>
      <c r="Y33" s="6" t="str">
        <f>IF(OR(
RawCustomerSales_[[#This Row],[Blank values]]="Missing",
RawCustomerSales_[[#This Row],[invalid quantity]]="Invalid",
RawCustomerSales_[[#This Row],[unit price status]]="Invalid",
RawCustomerSales_[[#This Row],[unit price status]]="Missing"
),"Needs Review","Clean")</f>
        <v>Clean</v>
      </c>
    </row>
    <row r="34" spans="1:25" x14ac:dyDescent="0.3">
      <c r="A34" t="s">
        <v>207</v>
      </c>
      <c r="B34" t="str">
        <f>IF(COUNTIF(RawCustomerSales_[Customer ID],RawCustomerSales_[[#This Row],[Customer ID]])&gt;1,"Duplicate","Unique")</f>
        <v>Unique</v>
      </c>
      <c r="C34" t="s">
        <v>373</v>
      </c>
      <c r="D34" t="s">
        <v>209</v>
      </c>
      <c r="E34" t="str">
        <f>IF(RawCustomerSales_[[#This Row],[Email]]="","missing","available")</f>
        <v>available</v>
      </c>
      <c r="F34" s="5" t="s">
        <v>210</v>
      </c>
      <c r="G34" t="str">
        <f>IF(RawCustomerSales_[[#This Row],[Phone]]="","missing","available")</f>
        <v>available</v>
      </c>
      <c r="H34" t="s">
        <v>19</v>
      </c>
      <c r="I34" t="s">
        <v>20</v>
      </c>
      <c r="J34" t="str">
        <f>IF(OR(RawCustomerSales_[[#This Row],[Gender]]="M",RawCustomerSales_[[#This Row],[Gender]]="male",RawCustomerSales_[[#This Row],[Gender]]="MALE"),"Male","Female")</f>
        <v>Male</v>
      </c>
      <c r="K34" t="s">
        <v>43</v>
      </c>
      <c r="L34" t="str">
        <f>PROPER(TRIM(RawCustomerSales_[[#This Row],[Product]]))</f>
        <v>Keyboard</v>
      </c>
      <c r="M34" t="s">
        <v>33</v>
      </c>
      <c r="N34" t="s">
        <v>276</v>
      </c>
      <c r="O34" t="str">
        <f>IF(TRIM(RawCustomerSales_[[#This Row],[Quantity]]&amp;"")="","Missing",IF(VALUE(RawCustomerSales_[[#This Row],[Quantity]])&lt;=0,"Invalid","Valid"))</f>
        <v>Valid</v>
      </c>
      <c r="P34" t="s">
        <v>289</v>
      </c>
      <c r="Q34" t="str">
        <f>IF(TRIM(RawCustomerSales_[[#This Row],[unit price]]&amp;"")="","Missing",IF(IFERROR(VALUE(RawCustomerSales_[[#This Row],[unit price]]),0)&lt;=0,"Invalid","Valid"))</f>
        <v>Valid</v>
      </c>
      <c r="R34" t="s">
        <v>289</v>
      </c>
      <c r="S34" t="s">
        <v>291</v>
      </c>
      <c r="T34" t="s">
        <v>301</v>
      </c>
      <c r="U34" t="s">
        <v>67</v>
      </c>
      <c r="V34" t="str">
        <f>IF(TRIM(RawCustomerSales_[[#This Row],[Payment Mode]]&amp;"")="","Missing",IF(UPPER(TRIM(RawCustomerSales_[[#This Row],[Payment Mode]]))="UPI","UPI",PROPER(TRIM(RawCustomerSales_[[#This Row],[Payment Mode]]))))</f>
        <v>Card</v>
      </c>
      <c r="W34" t="s">
        <v>25</v>
      </c>
      <c r="X34" s="6" t="str">
        <f>IF(TRIM(RawCustomerSales_[[#This Row],[Order Status]]&amp;"")="","Missing",PROPER(TRIM(RawCustomerSales_[[#This Row],[Order Status]])))</f>
        <v>Delivered</v>
      </c>
      <c r="Y34" s="6" t="str">
        <f>IF(OR(
RawCustomerSales_[[#This Row],[Blank values]]="Missing",
RawCustomerSales_[[#This Row],[invalid quantity]]="Invalid",
RawCustomerSales_[[#This Row],[unit price status]]="Invalid",
RawCustomerSales_[[#This Row],[unit price status]]="Missing"
),"Needs Review","Clean")</f>
        <v>Clean</v>
      </c>
    </row>
    <row r="35" spans="1:25" x14ac:dyDescent="0.3">
      <c r="A35" t="s">
        <v>211</v>
      </c>
      <c r="B35" t="str">
        <f>IF(COUNTIF(RawCustomerSales_[Customer ID],RawCustomerSales_[[#This Row],[Customer ID]])&gt;1,"Duplicate","Unique")</f>
        <v>Unique</v>
      </c>
      <c r="C35" t="s">
        <v>212</v>
      </c>
      <c r="E35" t="str">
        <f>IF(RawCustomerSales_[[#This Row],[Email]]="","missing","available")</f>
        <v>missing</v>
      </c>
      <c r="F35" s="5" t="s">
        <v>213</v>
      </c>
      <c r="G35" t="str">
        <f>IF(RawCustomerSales_[[#This Row],[Phone]]="","missing","available")</f>
        <v>available</v>
      </c>
      <c r="H35" t="s">
        <v>30</v>
      </c>
      <c r="I35" t="s">
        <v>20</v>
      </c>
      <c r="J35" t="str">
        <f>IF(OR(RawCustomerSales_[[#This Row],[Gender]]="M",RawCustomerSales_[[#This Row],[Gender]]="male",RawCustomerSales_[[#This Row],[Gender]]="MALE"),"Male","Female")</f>
        <v>Male</v>
      </c>
      <c r="K35" t="s">
        <v>53</v>
      </c>
      <c r="L35" t="str">
        <f>PROPER(TRIM(RawCustomerSales_[[#This Row],[Product]]))</f>
        <v>Monitor</v>
      </c>
      <c r="M35" t="s">
        <v>65</v>
      </c>
      <c r="N35" t="s">
        <v>282</v>
      </c>
      <c r="O35" t="str">
        <f>IF(TRIM(RawCustomerSales_[[#This Row],[Quantity]]&amp;"")="","Missing",IF(VALUE(RawCustomerSales_[[#This Row],[Quantity]])&lt;=0,"Invalid","Valid"))</f>
        <v>Valid</v>
      </c>
      <c r="P35" t="s">
        <v>295</v>
      </c>
      <c r="Q35" t="str">
        <f>IF(TRIM(RawCustomerSales_[[#This Row],[unit price]]&amp;"")="","Missing",IF(IFERROR(VALUE(RawCustomerSales_[[#This Row],[unit price]]),0)&lt;=0,"Invalid","Valid"))</f>
        <v>Valid</v>
      </c>
      <c r="R35" t="s">
        <v>374</v>
      </c>
      <c r="S35" t="s">
        <v>278</v>
      </c>
      <c r="T35" t="s">
        <v>76</v>
      </c>
      <c r="U35" t="s">
        <v>67</v>
      </c>
      <c r="V35" t="str">
        <f>IF(TRIM(RawCustomerSales_[[#This Row],[Payment Mode]]&amp;"")="","Missing",IF(UPPER(TRIM(RawCustomerSales_[[#This Row],[Payment Mode]]))="UPI","UPI",PROPER(TRIM(RawCustomerSales_[[#This Row],[Payment Mode]]))))</f>
        <v>Card</v>
      </c>
      <c r="W35" t="s">
        <v>57</v>
      </c>
      <c r="X35" s="6" t="str">
        <f>IF(TRIM(RawCustomerSales_[[#This Row],[Order Status]]&amp;"")="","Missing",PROPER(TRIM(RawCustomerSales_[[#This Row],[Order Status]])))</f>
        <v>Pending</v>
      </c>
      <c r="Y35" s="6" t="str">
        <f>IF(OR(
RawCustomerSales_[[#This Row],[Blank values]]="Missing",
RawCustomerSales_[[#This Row],[invalid quantity]]="Invalid",
RawCustomerSales_[[#This Row],[unit price status]]="Invalid",
RawCustomerSales_[[#This Row],[unit price status]]="Missing"
),"Needs Review","Clean")</f>
        <v>Needs Review</v>
      </c>
    </row>
    <row r="36" spans="1:25" x14ac:dyDescent="0.3">
      <c r="A36" t="s">
        <v>214</v>
      </c>
      <c r="B36" t="str">
        <f>IF(COUNTIF(RawCustomerSales_[Customer ID],RawCustomerSales_[[#This Row],[Customer ID]])&gt;1,"Duplicate","Unique")</f>
        <v>Unique</v>
      </c>
      <c r="C36" t="s">
        <v>215</v>
      </c>
      <c r="D36" t="s">
        <v>216</v>
      </c>
      <c r="E36" t="str">
        <f>IF(RawCustomerSales_[[#This Row],[Email]]="","missing","available")</f>
        <v>available</v>
      </c>
      <c r="F36" s="5" t="s">
        <v>217</v>
      </c>
      <c r="G36" t="str">
        <f>IF(RawCustomerSales_[[#This Row],[Phone]]="","missing","available")</f>
        <v>available</v>
      </c>
      <c r="H36" t="s">
        <v>51</v>
      </c>
      <c r="I36" t="s">
        <v>20</v>
      </c>
      <c r="J36" t="str">
        <f>IF(OR(RawCustomerSales_[[#This Row],[Gender]]="M",RawCustomerSales_[[#This Row],[Gender]]="male",RawCustomerSales_[[#This Row],[Gender]]="MALE"),"Male","Female")</f>
        <v>Male</v>
      </c>
      <c r="K36" t="s">
        <v>64</v>
      </c>
      <c r="L36" t="str">
        <f>PROPER(TRIM(RawCustomerSales_[[#This Row],[Product]]))</f>
        <v>Printer</v>
      </c>
      <c r="M36" t="s">
        <v>65</v>
      </c>
      <c r="N36" t="s">
        <v>288</v>
      </c>
      <c r="O36" t="str">
        <f>IF(TRIM(RawCustomerSales_[[#This Row],[Quantity]]&amp;"")="","Missing",IF(VALUE(RawCustomerSales_[[#This Row],[Quantity]])&lt;=0,"Invalid","Valid"))</f>
        <v>Valid</v>
      </c>
      <c r="P36" t="s">
        <v>300</v>
      </c>
      <c r="Q36" t="str">
        <f>IF(TRIM(RawCustomerSales_[[#This Row],[unit price]]&amp;"")="","Missing",IF(IFERROR(VALUE(RawCustomerSales_[[#This Row],[unit price]]),0)&lt;=0,"Invalid","Valid"))</f>
        <v>Valid</v>
      </c>
      <c r="R36" t="s">
        <v>375</v>
      </c>
      <c r="S36" t="s">
        <v>285</v>
      </c>
      <c r="T36" t="s">
        <v>309</v>
      </c>
      <c r="U36" t="s">
        <v>86</v>
      </c>
      <c r="V36" t="str">
        <f>IF(TRIM(RawCustomerSales_[[#This Row],[Payment Mode]]&amp;"")="","Missing",IF(UPPER(TRIM(RawCustomerSales_[[#This Row],[Payment Mode]]))="UPI","UPI",PROPER(TRIM(RawCustomerSales_[[#This Row],[Payment Mode]]))))</f>
        <v>Net Banking</v>
      </c>
      <c r="W36" t="s">
        <v>57</v>
      </c>
      <c r="X36" s="6" t="str">
        <f>IF(TRIM(RawCustomerSales_[[#This Row],[Order Status]]&amp;"")="","Missing",PROPER(TRIM(RawCustomerSales_[[#This Row],[Order Status]])))</f>
        <v>Pending</v>
      </c>
      <c r="Y36" s="6" t="str">
        <f>IF(OR(
RawCustomerSales_[[#This Row],[Blank values]]="Missing",
RawCustomerSales_[[#This Row],[invalid quantity]]="Invalid",
RawCustomerSales_[[#This Row],[unit price status]]="Invalid",
RawCustomerSales_[[#This Row],[unit price status]]="Missing"
),"Needs Review","Clean")</f>
        <v>Clean</v>
      </c>
    </row>
    <row r="37" spans="1:25" x14ac:dyDescent="0.3">
      <c r="A37" t="s">
        <v>218</v>
      </c>
      <c r="B37" t="str">
        <f>IF(COUNTIF(RawCustomerSales_[Customer ID],RawCustomerSales_[[#This Row],[Customer ID]])&gt;1,"Duplicate","Unique")</f>
        <v>Unique</v>
      </c>
      <c r="C37" t="s">
        <v>376</v>
      </c>
      <c r="D37" t="s">
        <v>220</v>
      </c>
      <c r="E37" t="str">
        <f>IF(RawCustomerSales_[[#This Row],[Email]]="","missing","available")</f>
        <v>available</v>
      </c>
      <c r="F37" s="5" t="s">
        <v>221</v>
      </c>
      <c r="G37" t="str">
        <f>IF(RawCustomerSales_[[#This Row],[Phone]]="","missing","available")</f>
        <v>available</v>
      </c>
      <c r="H37" t="s">
        <v>19</v>
      </c>
      <c r="I37" t="s">
        <v>52</v>
      </c>
      <c r="J37" t="str">
        <f>IF(OR(RawCustomerSales_[[#This Row],[Gender]]="M",RawCustomerSales_[[#This Row],[Gender]]="male",RawCustomerSales_[[#This Row],[Gender]]="MALE"),"Male","Female")</f>
        <v>Male</v>
      </c>
      <c r="K37" t="s">
        <v>75</v>
      </c>
      <c r="L37" t="str">
        <f>PROPER(TRIM(RawCustomerSales_[[#This Row],[Product]]))</f>
        <v>Headphones</v>
      </c>
      <c r="M37" t="s">
        <v>33</v>
      </c>
      <c r="N37" t="s">
        <v>294</v>
      </c>
      <c r="O37" t="str">
        <f>IF(TRIM(RawCustomerSales_[[#This Row],[Quantity]]&amp;"")="","Missing",IF(VALUE(RawCustomerSales_[[#This Row],[Quantity]])&lt;=0,"Invalid","Valid"))</f>
        <v>Valid</v>
      </c>
      <c r="P37" t="s">
        <v>303</v>
      </c>
      <c r="Q37" t="str">
        <f>IF(TRIM(RawCustomerSales_[[#This Row],[unit price]]&amp;"")="","Missing",IF(IFERROR(VALUE(RawCustomerSales_[[#This Row],[unit price]]),0)&lt;=0,"Invalid","Valid"))</f>
        <v>Valid</v>
      </c>
      <c r="R37" t="s">
        <v>377</v>
      </c>
      <c r="S37" t="s">
        <v>278</v>
      </c>
      <c r="T37" t="s">
        <v>314</v>
      </c>
      <c r="U37" t="s">
        <v>280</v>
      </c>
      <c r="V37" t="str">
        <f>IF(TRIM(RawCustomerSales_[[#This Row],[Payment Mode]]&amp;"")="","Missing",IF(UPPER(TRIM(RawCustomerSales_[[#This Row],[Payment Mode]]))="UPI","UPI",PROPER(TRIM(RawCustomerSales_[[#This Row],[Payment Mode]]))))</f>
        <v>UPI</v>
      </c>
      <c r="W37" t="s">
        <v>78</v>
      </c>
      <c r="X37" s="6" t="str">
        <f>IF(TRIM(RawCustomerSales_[[#This Row],[Order Status]]&amp;"")="","Missing",PROPER(TRIM(RawCustomerSales_[[#This Row],[Order Status]])))</f>
        <v>Cancelled</v>
      </c>
      <c r="Y37" s="6" t="str">
        <f>IF(OR(
RawCustomerSales_[[#This Row],[Blank values]]="Missing",
RawCustomerSales_[[#This Row],[invalid quantity]]="Invalid",
RawCustomerSales_[[#This Row],[unit price status]]="Invalid",
RawCustomerSales_[[#This Row],[unit price status]]="Missing"
),"Needs Review","Clean")</f>
        <v>Clean</v>
      </c>
    </row>
    <row r="38" spans="1:25" x14ac:dyDescent="0.3">
      <c r="A38" t="s">
        <v>222</v>
      </c>
      <c r="B38" t="str">
        <f>IF(COUNTIF(RawCustomerSales_[Customer ID],RawCustomerSales_[[#This Row],[Customer ID]])&gt;1,"Duplicate","Unique")</f>
        <v>Unique</v>
      </c>
      <c r="C38" t="s">
        <v>223</v>
      </c>
      <c r="D38" t="s">
        <v>224</v>
      </c>
      <c r="E38" t="str">
        <f>IF(RawCustomerSales_[[#This Row],[Email]]="","missing","available")</f>
        <v>available</v>
      </c>
      <c r="F38" s="5" t="s">
        <v>225</v>
      </c>
      <c r="G38" t="str">
        <f>IF(RawCustomerSales_[[#This Row],[Phone]]="","missing","available")</f>
        <v>available</v>
      </c>
      <c r="H38" t="s">
        <v>30</v>
      </c>
      <c r="I38" t="s">
        <v>63</v>
      </c>
      <c r="J38" t="str">
        <f>IF(OR(RawCustomerSales_[[#This Row],[Gender]]="M",RawCustomerSales_[[#This Row],[Gender]]="male",RawCustomerSales_[[#This Row],[Gender]]="MALE"),"Male","Female")</f>
        <v>Female</v>
      </c>
      <c r="K38" t="s">
        <v>21</v>
      </c>
      <c r="L38" t="str">
        <f>PROPER(TRIM(RawCustomerSales_[[#This Row],[Product]]))</f>
        <v>Laptop</v>
      </c>
      <c r="M38" t="s">
        <v>65</v>
      </c>
      <c r="N38" t="s">
        <v>326</v>
      </c>
      <c r="O38" t="str">
        <f>IF(TRIM(RawCustomerSales_[[#This Row],[Quantity]]&amp;"")="","Missing",IF(VALUE(RawCustomerSales_[[#This Row],[Quantity]])&lt;=0,"Invalid","Valid"))</f>
        <v>Valid</v>
      </c>
      <c r="P38" t="s">
        <v>307</v>
      </c>
      <c r="Q38" t="str">
        <f>IF(TRIM(RawCustomerSales_[[#This Row],[unit price]]&amp;"")="","Missing",IF(IFERROR(VALUE(RawCustomerSales_[[#This Row],[unit price]]),0)&lt;=0,"Invalid","Valid"))</f>
        <v>Valid</v>
      </c>
      <c r="R38" t="s">
        <v>378</v>
      </c>
      <c r="S38" t="s">
        <v>285</v>
      </c>
      <c r="T38" t="s">
        <v>317</v>
      </c>
      <c r="U38" t="s">
        <v>280</v>
      </c>
      <c r="V38" t="str">
        <f>IF(TRIM(RawCustomerSales_[[#This Row],[Payment Mode]]&amp;"")="","Missing",IF(UPPER(TRIM(RawCustomerSales_[[#This Row],[Payment Mode]]))="UPI","UPI",PROPER(TRIM(RawCustomerSales_[[#This Row],[Payment Mode]]))))</f>
        <v>UPI</v>
      </c>
      <c r="W38" t="s">
        <v>25</v>
      </c>
      <c r="X38" s="6" t="str">
        <f>IF(TRIM(RawCustomerSales_[[#This Row],[Order Status]]&amp;"")="","Missing",PROPER(TRIM(RawCustomerSales_[[#This Row],[Order Status]])))</f>
        <v>Delivered</v>
      </c>
      <c r="Y38" s="6" t="str">
        <f>IF(OR(
RawCustomerSales_[[#This Row],[Blank values]]="Missing",
RawCustomerSales_[[#This Row],[invalid quantity]]="Invalid",
RawCustomerSales_[[#This Row],[unit price status]]="Invalid",
RawCustomerSales_[[#This Row],[unit price status]]="Missing"
),"Needs Review","Clean")</f>
        <v>Clean</v>
      </c>
    </row>
    <row r="39" spans="1:25" x14ac:dyDescent="0.3">
      <c r="A39" t="s">
        <v>227</v>
      </c>
      <c r="B39" t="str">
        <f>IF(COUNTIF(RawCustomerSales_[Customer ID],RawCustomerSales_[[#This Row],[Customer ID]])&gt;1,"Duplicate","Unique")</f>
        <v>Unique</v>
      </c>
      <c r="C39" t="s">
        <v>228</v>
      </c>
      <c r="D39" t="s">
        <v>229</v>
      </c>
      <c r="E39" t="str">
        <f>IF(RawCustomerSales_[[#This Row],[Email]]="","missing","available")</f>
        <v>available</v>
      </c>
      <c r="F39" s="5" t="s">
        <v>230</v>
      </c>
      <c r="G39" t="str">
        <f>IF(RawCustomerSales_[[#This Row],[Phone]]="","missing","available")</f>
        <v>available</v>
      </c>
      <c r="H39" t="s">
        <v>287</v>
      </c>
      <c r="I39" t="s">
        <v>63</v>
      </c>
      <c r="J39" t="str">
        <f>IF(OR(RawCustomerSales_[[#This Row],[Gender]]="M",RawCustomerSales_[[#This Row],[Gender]]="male",RawCustomerSales_[[#This Row],[Gender]]="MALE"),"Male","Female")</f>
        <v>Female</v>
      </c>
      <c r="K39" t="s">
        <v>32</v>
      </c>
      <c r="L39" t="str">
        <f>PROPER(TRIM(RawCustomerSales_[[#This Row],[Product]]))</f>
        <v>Mouse</v>
      </c>
      <c r="M39" t="s">
        <v>33</v>
      </c>
      <c r="N39" t="s">
        <v>302</v>
      </c>
      <c r="O39" t="str">
        <f>IF(TRIM(RawCustomerSales_[[#This Row],[Quantity]]&amp;"")="","Missing",IF(VALUE(RawCustomerSales_[[#This Row],[Quantity]])&lt;=0,"Invalid","Valid"))</f>
        <v>Valid</v>
      </c>
      <c r="P39" t="s">
        <v>312</v>
      </c>
      <c r="Q39" t="str">
        <f>IF(TRIM(RawCustomerSales_[[#This Row],[unit price]]&amp;"")="","Missing",IF(IFERROR(VALUE(RawCustomerSales_[[#This Row],[unit price]]),0)&lt;=0,"Invalid","Valid"))</f>
        <v>Valid</v>
      </c>
      <c r="R39" t="s">
        <v>379</v>
      </c>
      <c r="S39" t="s">
        <v>291</v>
      </c>
      <c r="T39" t="s">
        <v>102</v>
      </c>
      <c r="U39" t="s">
        <v>46</v>
      </c>
      <c r="V39" t="str">
        <f>IF(TRIM(RawCustomerSales_[[#This Row],[Payment Mode]]&amp;"")="","Missing",IF(UPPER(TRIM(RawCustomerSales_[[#This Row],[Payment Mode]]))="UPI","UPI",PROPER(TRIM(RawCustomerSales_[[#This Row],[Payment Mode]]))))</f>
        <v>Cash</v>
      </c>
      <c r="W39" t="s">
        <v>25</v>
      </c>
      <c r="X39" s="6" t="str">
        <f>IF(TRIM(RawCustomerSales_[[#This Row],[Order Status]]&amp;"")="","Missing",PROPER(TRIM(RawCustomerSales_[[#This Row],[Order Status]])))</f>
        <v>Delivered</v>
      </c>
      <c r="Y39" s="6" t="str">
        <f>IF(OR(
RawCustomerSales_[[#This Row],[Blank values]]="Missing",
RawCustomerSales_[[#This Row],[invalid quantity]]="Invalid",
RawCustomerSales_[[#This Row],[unit price status]]="Invalid",
RawCustomerSales_[[#This Row],[unit price status]]="Missing"
),"Needs Review","Clean")</f>
        <v>Clean</v>
      </c>
    </row>
    <row r="40" spans="1:25" x14ac:dyDescent="0.3">
      <c r="A40" t="s">
        <v>231</v>
      </c>
      <c r="B40" t="str">
        <f>IF(COUNTIF(RawCustomerSales_[Customer ID],RawCustomerSales_[[#This Row],[Customer ID]])&gt;1,"Duplicate","Unique")</f>
        <v>Unique</v>
      </c>
      <c r="C40" t="s">
        <v>380</v>
      </c>
      <c r="D40" t="s">
        <v>233</v>
      </c>
      <c r="E40" t="str">
        <f>IF(RawCustomerSales_[[#This Row],[Email]]="","missing","available")</f>
        <v>available</v>
      </c>
      <c r="F40" s="5" t="s">
        <v>234</v>
      </c>
      <c r="G40" t="str">
        <f>IF(RawCustomerSales_[[#This Row],[Phone]]="","missing","available")</f>
        <v>available</v>
      </c>
      <c r="H40" t="s">
        <v>51</v>
      </c>
      <c r="I40" t="s">
        <v>63</v>
      </c>
      <c r="J40" t="str">
        <f>IF(OR(RawCustomerSales_[[#This Row],[Gender]]="M",RawCustomerSales_[[#This Row],[Gender]]="male",RawCustomerSales_[[#This Row],[Gender]]="MALE"),"Male","Female")</f>
        <v>Female</v>
      </c>
      <c r="K40" t="s">
        <v>43</v>
      </c>
      <c r="L40" t="str">
        <f>PROPER(TRIM(RawCustomerSales_[[#This Row],[Product]]))</f>
        <v>Keyboard</v>
      </c>
      <c r="M40" t="s">
        <v>33</v>
      </c>
      <c r="N40" t="s">
        <v>299</v>
      </c>
      <c r="O40" t="str">
        <f>IF(TRIM(RawCustomerSales_[[#This Row],[Quantity]]&amp;"")="","Missing",IF(VALUE(RawCustomerSales_[[#This Row],[Quantity]])&lt;=0,"Invalid","Valid"))</f>
        <v>Invalid</v>
      </c>
      <c r="P40" t="s">
        <v>316</v>
      </c>
      <c r="Q40" t="str">
        <f>IF(TRIM(RawCustomerSales_[[#This Row],[unit price]]&amp;"")="","Missing",IF(IFERROR(VALUE(RawCustomerSales_[[#This Row],[unit price]]),0)&lt;=0,"Invalid","Valid"))</f>
        <v>Valid</v>
      </c>
      <c r="R40" t="s">
        <v>299</v>
      </c>
      <c r="S40" t="s">
        <v>278</v>
      </c>
      <c r="T40" t="s">
        <v>322</v>
      </c>
      <c r="U40" t="s">
        <v>46</v>
      </c>
      <c r="V40" t="str">
        <f>IF(TRIM(RawCustomerSales_[[#This Row],[Payment Mode]]&amp;"")="","Missing",IF(UPPER(TRIM(RawCustomerSales_[[#This Row],[Payment Mode]]))="UPI","UPI",PROPER(TRIM(RawCustomerSales_[[#This Row],[Payment Mode]]))))</f>
        <v>Cash</v>
      </c>
      <c r="W40" t="s">
        <v>25</v>
      </c>
      <c r="X40" s="6" t="str">
        <f>IF(TRIM(RawCustomerSales_[[#This Row],[Order Status]]&amp;"")="","Missing",PROPER(TRIM(RawCustomerSales_[[#This Row],[Order Status]])))</f>
        <v>Delivered</v>
      </c>
      <c r="Y40" s="6" t="str">
        <f>IF(OR(
RawCustomerSales_[[#This Row],[Blank values]]="Missing",
RawCustomerSales_[[#This Row],[invalid quantity]]="Invalid",
RawCustomerSales_[[#This Row],[unit price status]]="Invalid",
RawCustomerSales_[[#This Row],[unit price status]]="Missing"
),"Needs Review","Clean")</f>
        <v>Needs Review</v>
      </c>
    </row>
    <row r="41" spans="1:25" x14ac:dyDescent="0.3">
      <c r="A41" t="s">
        <v>235</v>
      </c>
      <c r="B41" t="str">
        <f>IF(COUNTIF(RawCustomerSales_[Customer ID],RawCustomerSales_[[#This Row],[Customer ID]])&gt;1,"Duplicate","Unique")</f>
        <v>Unique</v>
      </c>
      <c r="C41" t="s">
        <v>236</v>
      </c>
      <c r="D41" t="s">
        <v>237</v>
      </c>
      <c r="E41" t="str">
        <f>IF(RawCustomerSales_[[#This Row],[Email]]="","missing","available")</f>
        <v>available</v>
      </c>
      <c r="F41" s="5" t="s">
        <v>238</v>
      </c>
      <c r="G41" t="str">
        <f>IF(RawCustomerSales_[[#This Row],[Phone]]="","missing","available")</f>
        <v>available</v>
      </c>
      <c r="H41" t="s">
        <v>19</v>
      </c>
      <c r="I41" t="s">
        <v>91</v>
      </c>
      <c r="J41" t="str">
        <f>IF(OR(RawCustomerSales_[[#This Row],[Gender]]="M",RawCustomerSales_[[#This Row],[Gender]]="male",RawCustomerSales_[[#This Row],[Gender]]="MALE"),"Male","Female")</f>
        <v>Female</v>
      </c>
      <c r="K41" t="s">
        <v>53</v>
      </c>
      <c r="L41" t="str">
        <f>PROPER(TRIM(RawCustomerSales_[[#This Row],[Product]]))</f>
        <v>Monitor</v>
      </c>
      <c r="M41" t="s">
        <v>65</v>
      </c>
      <c r="N41" t="s">
        <v>311</v>
      </c>
      <c r="O41" t="str">
        <f>IF(TRIM(RawCustomerSales_[[#This Row],[Quantity]]&amp;"")="","Missing",IF(VALUE(RawCustomerSales_[[#This Row],[Quantity]])&lt;=0,"Invalid","Valid"))</f>
        <v>Valid</v>
      </c>
      <c r="P41" t="s">
        <v>318</v>
      </c>
      <c r="Q41" t="str">
        <f>IF(TRIM(RawCustomerSales_[[#This Row],[unit price]]&amp;"")="","Missing",IF(IFERROR(VALUE(RawCustomerSales_[[#This Row],[unit price]]),0)&lt;=0,"Invalid","Valid"))</f>
        <v>Valid</v>
      </c>
      <c r="R41" t="s">
        <v>381</v>
      </c>
      <c r="S41" t="s">
        <v>285</v>
      </c>
      <c r="T41" t="s">
        <v>325</v>
      </c>
      <c r="U41" t="s">
        <v>67</v>
      </c>
      <c r="V41" t="str">
        <f>IF(TRIM(RawCustomerSales_[[#This Row],[Payment Mode]]&amp;"")="","Missing",IF(UPPER(TRIM(RawCustomerSales_[[#This Row],[Payment Mode]]))="UPI","UPI",PROPER(TRIM(RawCustomerSales_[[#This Row],[Payment Mode]]))))</f>
        <v>Card</v>
      </c>
      <c r="W41" t="s">
        <v>57</v>
      </c>
      <c r="X41" s="6" t="str">
        <f>IF(TRIM(RawCustomerSales_[[#This Row],[Order Status]]&amp;"")="","Missing",PROPER(TRIM(RawCustomerSales_[[#This Row],[Order Status]])))</f>
        <v>Pending</v>
      </c>
      <c r="Y41" s="6" t="str">
        <f>IF(OR(
RawCustomerSales_[[#This Row],[Blank values]]="Missing",
RawCustomerSales_[[#This Row],[invalid quantity]]="Invalid",
RawCustomerSales_[[#This Row],[unit price status]]="Invalid",
RawCustomerSales_[[#This Row],[unit price status]]="Missing"
),"Needs Review","Clean")</f>
        <v>Clean</v>
      </c>
    </row>
    <row r="42" spans="1:25" x14ac:dyDescent="0.3">
      <c r="A42" t="s">
        <v>239</v>
      </c>
      <c r="B42" t="str">
        <f>IF(COUNTIF(RawCustomerSales_[Customer ID],RawCustomerSales_[[#This Row],[Customer ID]])&gt;1,"Duplicate","Unique")</f>
        <v>Unique</v>
      </c>
      <c r="C42" t="s">
        <v>382</v>
      </c>
      <c r="D42" t="s">
        <v>241</v>
      </c>
      <c r="E42" t="str">
        <f>IF(RawCustomerSales_[[#This Row],[Email]]="","missing","available")</f>
        <v>available</v>
      </c>
      <c r="F42" s="5" t="s">
        <v>242</v>
      </c>
      <c r="G42" t="str">
        <f>IF(RawCustomerSales_[[#This Row],[Phone]]="","missing","available")</f>
        <v>available</v>
      </c>
      <c r="H42" t="s">
        <v>30</v>
      </c>
      <c r="I42" t="s">
        <v>20</v>
      </c>
      <c r="J42" t="str">
        <f>IF(OR(RawCustomerSales_[[#This Row],[Gender]]="M",RawCustomerSales_[[#This Row],[Gender]]="male",RawCustomerSales_[[#This Row],[Gender]]="MALE"),"Male","Female")</f>
        <v>Male</v>
      </c>
      <c r="K42" t="s">
        <v>64</v>
      </c>
      <c r="L42" t="str">
        <f>PROPER(TRIM(RawCustomerSales_[[#This Row],[Product]]))</f>
        <v>Printer</v>
      </c>
      <c r="M42" t="s">
        <v>65</v>
      </c>
      <c r="N42" t="s">
        <v>276</v>
      </c>
      <c r="O42" t="str">
        <f>IF(TRIM(RawCustomerSales_[[#This Row],[Quantity]]&amp;"")="","Missing",IF(VALUE(RawCustomerSales_[[#This Row],[Quantity]])&lt;=0,"Invalid","Valid"))</f>
        <v>Valid</v>
      </c>
      <c r="P42" t="s">
        <v>320</v>
      </c>
      <c r="Q42" t="str">
        <f>IF(TRIM(RawCustomerSales_[[#This Row],[unit price]]&amp;"")="","Missing",IF(IFERROR(VALUE(RawCustomerSales_[[#This Row],[unit price]]),0)&lt;=0,"Invalid","Valid"))</f>
        <v>Valid</v>
      </c>
      <c r="R42" t="s">
        <v>320</v>
      </c>
      <c r="S42" t="s">
        <v>278</v>
      </c>
      <c r="T42" t="s">
        <v>327</v>
      </c>
      <c r="U42" t="s">
        <v>67</v>
      </c>
      <c r="V42" t="str">
        <f>IF(TRIM(RawCustomerSales_[[#This Row],[Payment Mode]]&amp;"")="","Missing",IF(UPPER(TRIM(RawCustomerSales_[[#This Row],[Payment Mode]]))="UPI","UPI",PROPER(TRIM(RawCustomerSales_[[#This Row],[Payment Mode]]))))</f>
        <v>Card</v>
      </c>
      <c r="W42" t="s">
        <v>57</v>
      </c>
      <c r="X42" s="6" t="str">
        <f>IF(TRIM(RawCustomerSales_[[#This Row],[Order Status]]&amp;"")="","Missing",PROPER(TRIM(RawCustomerSales_[[#This Row],[Order Status]])))</f>
        <v>Pending</v>
      </c>
      <c r="Y42" s="6" t="str">
        <f>IF(OR(
RawCustomerSales_[[#This Row],[Blank values]]="Missing",
RawCustomerSales_[[#This Row],[invalid quantity]]="Invalid",
RawCustomerSales_[[#This Row],[unit price status]]="Invalid",
RawCustomerSales_[[#This Row],[unit price status]]="Missing"
),"Needs Review","Clean")</f>
        <v>Clean</v>
      </c>
    </row>
    <row r="43" spans="1:25" x14ac:dyDescent="0.3">
      <c r="A43" t="s">
        <v>243</v>
      </c>
      <c r="B43" t="str">
        <f>IF(COUNTIF(RawCustomerSales_[Customer ID],RawCustomerSales_[[#This Row],[Customer ID]])&gt;1,"Duplicate","Unique")</f>
        <v>Unique</v>
      </c>
      <c r="C43" t="s">
        <v>244</v>
      </c>
      <c r="D43" t="s">
        <v>245</v>
      </c>
      <c r="E43" t="str">
        <f>IF(RawCustomerSales_[[#This Row],[Email]]="","missing","available")</f>
        <v>available</v>
      </c>
      <c r="F43" s="5" t="s">
        <v>246</v>
      </c>
      <c r="G43" t="str">
        <f>IF(RawCustomerSales_[[#This Row],[Phone]]="","missing","available")</f>
        <v>available</v>
      </c>
      <c r="H43" t="s">
        <v>51</v>
      </c>
      <c r="I43" t="s">
        <v>20</v>
      </c>
      <c r="J43" t="str">
        <f>IF(OR(RawCustomerSales_[[#This Row],[Gender]]="M",RawCustomerSales_[[#This Row],[Gender]]="male",RawCustomerSales_[[#This Row],[Gender]]="MALE"),"Male","Female")</f>
        <v>Male</v>
      </c>
      <c r="K43" t="s">
        <v>75</v>
      </c>
      <c r="L43" t="str">
        <f>PROPER(TRIM(RawCustomerSales_[[#This Row],[Product]]))</f>
        <v>Headphones</v>
      </c>
      <c r="M43" t="s">
        <v>33</v>
      </c>
      <c r="N43" t="s">
        <v>282</v>
      </c>
      <c r="O43" t="str">
        <f>IF(TRIM(RawCustomerSales_[[#This Row],[Quantity]]&amp;"")="","Missing",IF(VALUE(RawCustomerSales_[[#This Row],[Quantity]])&lt;=0,"Invalid","Valid"))</f>
        <v>Valid</v>
      </c>
      <c r="P43" t="s">
        <v>323</v>
      </c>
      <c r="Q43" t="str">
        <f>IF(TRIM(RawCustomerSales_[[#This Row],[unit price]]&amp;"")="","Missing",IF(IFERROR(VALUE(RawCustomerSales_[[#This Row],[unit price]]),0)&lt;=0,"Invalid","Valid"))</f>
        <v>Valid</v>
      </c>
      <c r="R43" t="s">
        <v>290</v>
      </c>
      <c r="S43" t="s">
        <v>285</v>
      </c>
      <c r="T43" t="s">
        <v>122</v>
      </c>
      <c r="U43" t="s">
        <v>86</v>
      </c>
      <c r="V43" t="str">
        <f>IF(TRIM(RawCustomerSales_[[#This Row],[Payment Mode]]&amp;"")="","Missing",IF(UPPER(TRIM(RawCustomerSales_[[#This Row],[Payment Mode]]))="UPI","UPI",PROPER(TRIM(RawCustomerSales_[[#This Row],[Payment Mode]]))))</f>
        <v>Net Banking</v>
      </c>
      <c r="W43" t="s">
        <v>78</v>
      </c>
      <c r="X43" s="6" t="str">
        <f>IF(TRIM(RawCustomerSales_[[#This Row],[Order Status]]&amp;"")="","Missing",PROPER(TRIM(RawCustomerSales_[[#This Row],[Order Status]])))</f>
        <v>Cancelled</v>
      </c>
      <c r="Y43" s="6" t="str">
        <f>IF(OR(
RawCustomerSales_[[#This Row],[Blank values]]="Missing",
RawCustomerSales_[[#This Row],[invalid quantity]]="Invalid",
RawCustomerSales_[[#This Row],[unit price status]]="Invalid",
RawCustomerSales_[[#This Row],[unit price status]]="Missing"
),"Needs Review","Clean")</f>
        <v>Clean</v>
      </c>
    </row>
    <row r="44" spans="1:25" x14ac:dyDescent="0.3">
      <c r="A44" t="s">
        <v>247</v>
      </c>
      <c r="B44" t="str">
        <f>IF(COUNTIF(RawCustomerSales_[Customer ID],RawCustomerSales_[[#This Row],[Customer ID]])&gt;1,"Duplicate","Unique")</f>
        <v>Unique</v>
      </c>
      <c r="C44" t="s">
        <v>248</v>
      </c>
      <c r="D44" t="s">
        <v>249</v>
      </c>
      <c r="E44" t="str">
        <f>IF(RawCustomerSales_[[#This Row],[Email]]="","missing","available")</f>
        <v>available</v>
      </c>
      <c r="F44" s="5" t="s">
        <v>250</v>
      </c>
      <c r="G44" t="str">
        <f>IF(RawCustomerSales_[[#This Row],[Phone]]="","missing","available")</f>
        <v>available</v>
      </c>
      <c r="H44" t="s">
        <v>19</v>
      </c>
      <c r="I44" t="s">
        <v>20</v>
      </c>
      <c r="J44" t="str">
        <f>IF(OR(RawCustomerSales_[[#This Row],[Gender]]="M",RawCustomerSales_[[#This Row],[Gender]]="male",RawCustomerSales_[[#This Row],[Gender]]="MALE"),"Male","Female")</f>
        <v>Male</v>
      </c>
      <c r="K44" t="s">
        <v>399</v>
      </c>
      <c r="L44" t="str">
        <f>PROPER(TRIM(RawCustomerSales_[[#This Row],[Product]]))</f>
        <v>Laptop</v>
      </c>
      <c r="M44" t="s">
        <v>65</v>
      </c>
      <c r="N44" t="s">
        <v>288</v>
      </c>
      <c r="O44" t="str">
        <f>IF(TRIM(RawCustomerSales_[[#This Row],[Quantity]]&amp;"")="","Missing",IF(VALUE(RawCustomerSales_[[#This Row],[Quantity]])&lt;=0,"Invalid","Valid"))</f>
        <v>Valid</v>
      </c>
      <c r="P44" t="s">
        <v>383</v>
      </c>
      <c r="Q44" t="str">
        <f>IF(TRIM(RawCustomerSales_[[#This Row],[unit price]]&amp;"")="","Missing",IF(IFERROR(VALUE(RawCustomerSales_[[#This Row],[unit price]]),0)&lt;=0,"Invalid","Valid"))</f>
        <v>Valid</v>
      </c>
      <c r="R44" t="s">
        <v>384</v>
      </c>
      <c r="S44" t="s">
        <v>291</v>
      </c>
      <c r="T44" t="s">
        <v>333</v>
      </c>
      <c r="U44" t="s">
        <v>280</v>
      </c>
      <c r="V44" t="str">
        <f>IF(TRIM(RawCustomerSales_[[#This Row],[Payment Mode]]&amp;"")="","Missing",IF(UPPER(TRIM(RawCustomerSales_[[#This Row],[Payment Mode]]))="UPI","UPI",PROPER(TRIM(RawCustomerSales_[[#This Row],[Payment Mode]]))))</f>
        <v>UPI</v>
      </c>
      <c r="W44" t="s">
        <v>25</v>
      </c>
      <c r="X44" s="6" t="str">
        <f>IF(TRIM(RawCustomerSales_[[#This Row],[Order Status]]&amp;"")="","Missing",PROPER(TRIM(RawCustomerSales_[[#This Row],[Order Status]])))</f>
        <v>Delivered</v>
      </c>
      <c r="Y44" s="6" t="str">
        <f>IF(OR(
RawCustomerSales_[[#This Row],[Blank values]]="Missing",
RawCustomerSales_[[#This Row],[invalid quantity]]="Invalid",
RawCustomerSales_[[#This Row],[unit price status]]="Invalid",
RawCustomerSales_[[#This Row],[unit price status]]="Missing"
),"Needs Review","Clean")</f>
        <v>Clean</v>
      </c>
    </row>
    <row r="45" spans="1:25" x14ac:dyDescent="0.3">
      <c r="A45" t="s">
        <v>251</v>
      </c>
      <c r="B45" t="str">
        <f>IF(COUNTIF(RawCustomerSales_[Customer ID],RawCustomerSales_[[#This Row],[Customer ID]])&gt;1,"Duplicate","Unique")</f>
        <v>Unique</v>
      </c>
      <c r="C45" t="s">
        <v>385</v>
      </c>
      <c r="E45" t="str">
        <f>IF(RawCustomerSales_[[#This Row],[Email]]="","missing","available")</f>
        <v>missing</v>
      </c>
      <c r="F45" s="5" t="s">
        <v>253</v>
      </c>
      <c r="G45" t="str">
        <f>IF(RawCustomerSales_[[#This Row],[Phone]]="","missing","available")</f>
        <v>available</v>
      </c>
      <c r="H45" t="s">
        <v>30</v>
      </c>
      <c r="I45" t="s">
        <v>52</v>
      </c>
      <c r="J45" t="str">
        <f>IF(OR(RawCustomerSales_[[#This Row],[Gender]]="M",RawCustomerSales_[[#This Row],[Gender]]="male",RawCustomerSales_[[#This Row],[Gender]]="MALE"),"Male","Female")</f>
        <v>Male</v>
      </c>
      <c r="K45" t="s">
        <v>32</v>
      </c>
      <c r="L45" t="str">
        <f>PROPER(TRIM(RawCustomerSales_[[#This Row],[Product]]))</f>
        <v>Mouse</v>
      </c>
      <c r="M45" t="s">
        <v>33</v>
      </c>
      <c r="N45" t="s">
        <v>294</v>
      </c>
      <c r="O45" t="str">
        <f>IF(TRIM(RawCustomerSales_[[#This Row],[Quantity]]&amp;"")="","Missing",IF(VALUE(RawCustomerSales_[[#This Row],[Quantity]])&lt;=0,"Invalid","Valid"))</f>
        <v>Valid</v>
      </c>
      <c r="P45" t="s">
        <v>328</v>
      </c>
      <c r="Q45" t="str">
        <f>IF(TRIM(RawCustomerSales_[[#This Row],[unit price]]&amp;"")="","Missing",IF(IFERROR(VALUE(RawCustomerSales_[[#This Row],[unit price]]),0)&lt;=0,"Invalid","Valid"))</f>
        <v>Valid</v>
      </c>
      <c r="R45" t="s">
        <v>386</v>
      </c>
      <c r="S45" t="s">
        <v>278</v>
      </c>
      <c r="T45" t="s">
        <v>336</v>
      </c>
      <c r="U45" t="s">
        <v>280</v>
      </c>
      <c r="V45" t="str">
        <f>IF(TRIM(RawCustomerSales_[[#This Row],[Payment Mode]]&amp;"")="","Missing",IF(UPPER(TRIM(RawCustomerSales_[[#This Row],[Payment Mode]]))="UPI","UPI",PROPER(TRIM(RawCustomerSales_[[#This Row],[Payment Mode]]))))</f>
        <v>UPI</v>
      </c>
      <c r="W45" t="s">
        <v>25</v>
      </c>
      <c r="X45" s="6" t="str">
        <f>IF(TRIM(RawCustomerSales_[[#This Row],[Order Status]]&amp;"")="","Missing",PROPER(TRIM(RawCustomerSales_[[#This Row],[Order Status]])))</f>
        <v>Delivered</v>
      </c>
      <c r="Y45" s="6" t="str">
        <f>IF(OR(
RawCustomerSales_[[#This Row],[Blank values]]="Missing",
RawCustomerSales_[[#This Row],[invalid quantity]]="Invalid",
RawCustomerSales_[[#This Row],[unit price status]]="Invalid",
RawCustomerSales_[[#This Row],[unit price status]]="Missing"
),"Needs Review","Clean")</f>
        <v>Needs Review</v>
      </c>
    </row>
    <row r="46" spans="1:25" x14ac:dyDescent="0.3">
      <c r="A46" t="s">
        <v>254</v>
      </c>
      <c r="B46" t="str">
        <f>IF(COUNTIF(RawCustomerSales_[Customer ID],RawCustomerSales_[[#This Row],[Customer ID]])&gt;1,"Duplicate","Unique")</f>
        <v>Unique</v>
      </c>
      <c r="C46" t="s">
        <v>255</v>
      </c>
      <c r="D46" t="s">
        <v>256</v>
      </c>
      <c r="E46" t="str">
        <f>IF(RawCustomerSales_[[#This Row],[Email]]="","missing","available")</f>
        <v>available</v>
      </c>
      <c r="F46" s="5" t="s">
        <v>257</v>
      </c>
      <c r="G46" t="str">
        <f>IF(RawCustomerSales_[[#This Row],[Phone]]="","missing","available")</f>
        <v>available</v>
      </c>
      <c r="H46" t="s">
        <v>287</v>
      </c>
      <c r="I46" t="s">
        <v>63</v>
      </c>
      <c r="J46" t="str">
        <f>IF(OR(RawCustomerSales_[[#This Row],[Gender]]="M",RawCustomerSales_[[#This Row],[Gender]]="male",RawCustomerSales_[[#This Row],[Gender]]="MALE"),"Male","Female")</f>
        <v>Female</v>
      </c>
      <c r="K46" t="s">
        <v>43</v>
      </c>
      <c r="L46" t="str">
        <f>PROPER(TRIM(RawCustomerSales_[[#This Row],[Product]]))</f>
        <v>Keyboard</v>
      </c>
      <c r="M46" t="s">
        <v>33</v>
      </c>
      <c r="N46" t="s">
        <v>326</v>
      </c>
      <c r="O46" t="str">
        <f>IF(TRIM(RawCustomerSales_[[#This Row],[Quantity]]&amp;"")="","Missing",IF(VALUE(RawCustomerSales_[[#This Row],[Quantity]])&lt;=0,"Invalid","Valid"))</f>
        <v>Valid</v>
      </c>
      <c r="P46" t="s">
        <v>331</v>
      </c>
      <c r="Q46" t="str">
        <f>IF(TRIM(RawCustomerSales_[[#This Row],[unit price]]&amp;"")="","Missing",IF(IFERROR(VALUE(RawCustomerSales_[[#This Row],[unit price]]),0)&lt;=0,"Invalid","Valid"))</f>
        <v>Valid</v>
      </c>
      <c r="R46" t="s">
        <v>387</v>
      </c>
      <c r="S46" t="s">
        <v>285</v>
      </c>
      <c r="T46" t="s">
        <v>338</v>
      </c>
      <c r="U46" t="s">
        <v>46</v>
      </c>
      <c r="V46" t="str">
        <f>IF(TRIM(RawCustomerSales_[[#This Row],[Payment Mode]]&amp;"")="","Missing",IF(UPPER(TRIM(RawCustomerSales_[[#This Row],[Payment Mode]]))="UPI","UPI",PROPER(TRIM(RawCustomerSales_[[#This Row],[Payment Mode]]))))</f>
        <v>Cash</v>
      </c>
      <c r="W46" t="s">
        <v>25</v>
      </c>
      <c r="X46" s="6" t="str">
        <f>IF(TRIM(RawCustomerSales_[[#This Row],[Order Status]]&amp;"")="","Missing",PROPER(TRIM(RawCustomerSales_[[#This Row],[Order Status]])))</f>
        <v>Delivered</v>
      </c>
      <c r="Y46" s="6" t="str">
        <f>IF(OR(
RawCustomerSales_[[#This Row],[Blank values]]="Missing",
RawCustomerSales_[[#This Row],[invalid quantity]]="Invalid",
RawCustomerSales_[[#This Row],[unit price status]]="Invalid",
RawCustomerSales_[[#This Row],[unit price status]]="Missing"
),"Needs Review","Clean")</f>
        <v>Clean</v>
      </c>
    </row>
    <row r="47" spans="1:25" x14ac:dyDescent="0.3">
      <c r="A47" t="s">
        <v>258</v>
      </c>
      <c r="B47" t="str">
        <f>IF(COUNTIF(RawCustomerSales_[Customer ID],RawCustomerSales_[[#This Row],[Customer ID]])&gt;1,"Duplicate","Unique")</f>
        <v>Unique</v>
      </c>
      <c r="C47" t="s">
        <v>388</v>
      </c>
      <c r="D47" t="s">
        <v>260</v>
      </c>
      <c r="E47" t="str">
        <f>IF(RawCustomerSales_[[#This Row],[Email]]="","missing","available")</f>
        <v>available</v>
      </c>
      <c r="F47" s="5" t="s">
        <v>261</v>
      </c>
      <c r="G47" t="str">
        <f>IF(RawCustomerSales_[[#This Row],[Phone]]="","missing","available")</f>
        <v>available</v>
      </c>
      <c r="H47" t="s">
        <v>51</v>
      </c>
      <c r="I47" t="s">
        <v>63</v>
      </c>
      <c r="J47" t="str">
        <f>IF(OR(RawCustomerSales_[[#This Row],[Gender]]="M",RawCustomerSales_[[#This Row],[Gender]]="male",RawCustomerSales_[[#This Row],[Gender]]="MALE"),"Male","Female")</f>
        <v>Female</v>
      </c>
      <c r="K47" t="s">
        <v>53</v>
      </c>
      <c r="L47" t="str">
        <f>PROPER(TRIM(RawCustomerSales_[[#This Row],[Product]]))</f>
        <v>Monitor</v>
      </c>
      <c r="M47" t="s">
        <v>65</v>
      </c>
      <c r="N47" t="s">
        <v>302</v>
      </c>
      <c r="O47" t="str">
        <f>IF(TRIM(RawCustomerSales_[[#This Row],[Quantity]]&amp;"")="","Missing",IF(VALUE(RawCustomerSales_[[#This Row],[Quantity]])&lt;=0,"Invalid","Valid"))</f>
        <v>Valid</v>
      </c>
      <c r="P47" t="s">
        <v>299</v>
      </c>
      <c r="Q47" t="str">
        <f>IF(TRIM(RawCustomerSales_[[#This Row],[unit price]]&amp;"")="","Missing",IF(IFERROR(VALUE(RawCustomerSales_[[#This Row],[unit price]]),0)&lt;=0,"Invalid","Valid"))</f>
        <v>Invalid</v>
      </c>
      <c r="R47" t="s">
        <v>299</v>
      </c>
      <c r="S47" t="s">
        <v>278</v>
      </c>
      <c r="T47" t="s">
        <v>141</v>
      </c>
      <c r="U47" t="s">
        <v>46</v>
      </c>
      <c r="V47" t="str">
        <f>IF(TRIM(RawCustomerSales_[[#This Row],[Payment Mode]]&amp;"")="","Missing",IF(UPPER(TRIM(RawCustomerSales_[[#This Row],[Payment Mode]]))="UPI","UPI",PROPER(TRIM(RawCustomerSales_[[#This Row],[Payment Mode]]))))</f>
        <v>Cash</v>
      </c>
      <c r="W47" t="s">
        <v>57</v>
      </c>
      <c r="X47" s="6" t="str">
        <f>IF(TRIM(RawCustomerSales_[[#This Row],[Order Status]]&amp;"")="","Missing",PROPER(TRIM(RawCustomerSales_[[#This Row],[Order Status]])))</f>
        <v>Pending</v>
      </c>
      <c r="Y47" s="6" t="str">
        <f>IF(OR(
RawCustomerSales_[[#This Row],[Blank values]]="Missing",
RawCustomerSales_[[#This Row],[invalid quantity]]="Invalid",
RawCustomerSales_[[#This Row],[unit price status]]="Invalid",
RawCustomerSales_[[#This Row],[unit price status]]="Missing"
),"Needs Review","Clean")</f>
        <v>Needs Review</v>
      </c>
    </row>
    <row r="48" spans="1:25" x14ac:dyDescent="0.3">
      <c r="A48" t="s">
        <v>262</v>
      </c>
      <c r="B48" t="str">
        <f>IF(COUNTIF(RawCustomerSales_[Customer ID],RawCustomerSales_[[#This Row],[Customer ID]])&gt;1,"Duplicate","Unique")</f>
        <v>Unique</v>
      </c>
      <c r="C48" t="s">
        <v>263</v>
      </c>
      <c r="D48" t="s">
        <v>264</v>
      </c>
      <c r="E48" t="str">
        <f>IF(RawCustomerSales_[[#This Row],[Email]]="","missing","available")</f>
        <v>available</v>
      </c>
      <c r="F48" s="5" t="s">
        <v>265</v>
      </c>
      <c r="G48" t="str">
        <f>IF(RawCustomerSales_[[#This Row],[Phone]]="","missing","available")</f>
        <v>available</v>
      </c>
      <c r="H48" t="s">
        <v>19</v>
      </c>
      <c r="I48" t="s">
        <v>63</v>
      </c>
      <c r="J48" t="str">
        <f>IF(OR(RawCustomerSales_[[#This Row],[Gender]]="M",RawCustomerSales_[[#This Row],[Gender]]="male",RawCustomerSales_[[#This Row],[Gender]]="MALE"),"Male","Female")</f>
        <v>Female</v>
      </c>
      <c r="K48" t="s">
        <v>64</v>
      </c>
      <c r="L48" t="str">
        <f>PROPER(TRIM(RawCustomerSales_[[#This Row],[Product]]))</f>
        <v>Printer</v>
      </c>
      <c r="M48" t="s">
        <v>65</v>
      </c>
      <c r="N48" t="s">
        <v>306</v>
      </c>
      <c r="O48" t="str">
        <f>IF(TRIM(RawCustomerSales_[[#This Row],[Quantity]]&amp;"")="","Missing",IF(VALUE(RawCustomerSales_[[#This Row],[Quantity]])&lt;=0,"Invalid","Valid"))</f>
        <v>Valid</v>
      </c>
      <c r="P48" t="s">
        <v>337</v>
      </c>
      <c r="Q48" t="str">
        <f>IF(TRIM(RawCustomerSales_[[#This Row],[unit price]]&amp;"")="","Missing",IF(IFERROR(VALUE(RawCustomerSales_[[#This Row],[unit price]]),0)&lt;=0,"Invalid","Valid"))</f>
        <v>Valid</v>
      </c>
      <c r="R48" t="s">
        <v>389</v>
      </c>
      <c r="S48" t="s">
        <v>285</v>
      </c>
      <c r="T48" t="s">
        <v>343</v>
      </c>
      <c r="U48" t="s">
        <v>67</v>
      </c>
      <c r="V48" t="str">
        <f>IF(TRIM(RawCustomerSales_[[#This Row],[Payment Mode]]&amp;"")="","Missing",IF(UPPER(TRIM(RawCustomerSales_[[#This Row],[Payment Mode]]))="UPI","UPI",PROPER(TRIM(RawCustomerSales_[[#This Row],[Payment Mode]]))))</f>
        <v>Card</v>
      </c>
      <c r="W48" t="s">
        <v>57</v>
      </c>
      <c r="X48" s="6" t="str">
        <f>IF(TRIM(RawCustomerSales_[[#This Row],[Order Status]]&amp;"")="","Missing",PROPER(TRIM(RawCustomerSales_[[#This Row],[Order Status]])))</f>
        <v>Pending</v>
      </c>
      <c r="Y48" s="6" t="str">
        <f>IF(OR(
RawCustomerSales_[[#This Row],[Blank values]]="Missing",
RawCustomerSales_[[#This Row],[invalid quantity]]="Invalid",
RawCustomerSales_[[#This Row],[unit price status]]="Invalid",
RawCustomerSales_[[#This Row],[unit price status]]="Missing"
),"Needs Review","Clean")</f>
        <v>Clean</v>
      </c>
    </row>
    <row r="49" spans="1:25" x14ac:dyDescent="0.3">
      <c r="A49" t="s">
        <v>270</v>
      </c>
      <c r="B49" t="str">
        <f>IF(COUNTIF(RawCustomerSales_[Customer ID],RawCustomerSales_[[#This Row],[Customer ID]])&gt;1,"Duplicate","Unique")</f>
        <v>Duplicate</v>
      </c>
      <c r="C49" t="s">
        <v>390</v>
      </c>
      <c r="D49" t="s">
        <v>268</v>
      </c>
      <c r="E49" t="str">
        <f>IF(RawCustomerSales_[[#This Row],[Email]]="","missing","available")</f>
        <v>available</v>
      </c>
      <c r="F49" s="5" t="s">
        <v>269</v>
      </c>
      <c r="G49" t="str">
        <f>IF(RawCustomerSales_[[#This Row],[Phone]]="","missing","available")</f>
        <v>available</v>
      </c>
      <c r="H49" t="s">
        <v>30</v>
      </c>
      <c r="I49" t="s">
        <v>91</v>
      </c>
      <c r="J49" t="str">
        <f>IF(OR(RawCustomerSales_[[#This Row],[Gender]]="M",RawCustomerSales_[[#This Row],[Gender]]="male",RawCustomerSales_[[#This Row],[Gender]]="MALE"),"Male","Female")</f>
        <v>Female</v>
      </c>
      <c r="K49" t="s">
        <v>75</v>
      </c>
      <c r="L49" t="str">
        <f>PROPER(TRIM(RawCustomerSales_[[#This Row],[Product]]))</f>
        <v>Headphones</v>
      </c>
      <c r="M49" t="s">
        <v>33</v>
      </c>
      <c r="N49" t="s">
        <v>351</v>
      </c>
      <c r="O49" t="str">
        <f>IF(TRIM(RawCustomerSales_[[#This Row],[Quantity]]&amp;"")="","Missing",IF(VALUE(RawCustomerSales_[[#This Row],[Quantity]])&lt;=0,"Invalid","Valid"))</f>
        <v>Invalid</v>
      </c>
      <c r="P49" t="s">
        <v>339</v>
      </c>
      <c r="Q49" t="str">
        <f>IF(TRIM(RawCustomerSales_[[#This Row],[unit price]]&amp;"")="","Missing",IF(IFERROR(VALUE(RawCustomerSales_[[#This Row],[unit price]]),0)&lt;=0,"Invalid","Valid"))</f>
        <v>Valid</v>
      </c>
      <c r="R49" t="s">
        <v>391</v>
      </c>
      <c r="S49" t="s">
        <v>291</v>
      </c>
      <c r="T49" t="s">
        <v>346</v>
      </c>
      <c r="U49" t="s">
        <v>67</v>
      </c>
      <c r="V49" t="str">
        <f>IF(TRIM(RawCustomerSales_[[#This Row],[Payment Mode]]&amp;"")="","Missing",IF(UPPER(TRIM(RawCustomerSales_[[#This Row],[Payment Mode]]))="UPI","UPI",PROPER(TRIM(RawCustomerSales_[[#This Row],[Payment Mode]]))))</f>
        <v>Card</v>
      </c>
      <c r="W49" t="s">
        <v>78</v>
      </c>
      <c r="X49" s="6" t="str">
        <f>IF(TRIM(RawCustomerSales_[[#This Row],[Order Status]]&amp;"")="","Missing",PROPER(TRIM(RawCustomerSales_[[#This Row],[Order Status]])))</f>
        <v>Cancelled</v>
      </c>
      <c r="Y49" s="6" t="str">
        <f>IF(OR(
RawCustomerSales_[[#This Row],[Blank values]]="Missing",
RawCustomerSales_[[#This Row],[invalid quantity]]="Invalid",
RawCustomerSales_[[#This Row],[unit price status]]="Invalid",
RawCustomerSales_[[#This Row],[unit price status]]="Missing"
),"Needs Review","Clean")</f>
        <v>Needs Review</v>
      </c>
    </row>
    <row r="50" spans="1:25" x14ac:dyDescent="0.3">
      <c r="A50" t="s">
        <v>270</v>
      </c>
      <c r="B50" t="str">
        <f>IF(COUNTIF(RawCustomerSales_[Customer ID],RawCustomerSales_[[#This Row],[Customer ID]])&gt;1,"Duplicate","Unique")</f>
        <v>Duplicate</v>
      </c>
      <c r="C50" t="s">
        <v>153</v>
      </c>
      <c r="D50" t="s">
        <v>154</v>
      </c>
      <c r="E50" t="str">
        <f>IF(RawCustomerSales_[[#This Row],[Email]]="","missing","available")</f>
        <v>available</v>
      </c>
      <c r="F50" s="5" t="s">
        <v>271</v>
      </c>
      <c r="G50" t="str">
        <f>IF(RawCustomerSales_[[#This Row],[Phone]]="","missing","available")</f>
        <v>available</v>
      </c>
      <c r="H50" t="s">
        <v>51</v>
      </c>
      <c r="I50" t="s">
        <v>20</v>
      </c>
      <c r="J50" t="str">
        <f>IF(OR(RawCustomerSales_[[#This Row],[Gender]]="M",RawCustomerSales_[[#This Row],[Gender]]="male",RawCustomerSales_[[#This Row],[Gender]]="MALE"),"Male","Female")</f>
        <v>Male</v>
      </c>
      <c r="K50" t="s">
        <v>21</v>
      </c>
      <c r="L50" t="str">
        <f>PROPER(TRIM(RawCustomerSales_[[#This Row],[Product]]))</f>
        <v>Laptop</v>
      </c>
      <c r="M50" t="s">
        <v>65</v>
      </c>
      <c r="N50" t="s">
        <v>276</v>
      </c>
      <c r="O50" t="str">
        <f>IF(TRIM(RawCustomerSales_[[#This Row],[Quantity]]&amp;"")="","Missing",IF(VALUE(RawCustomerSales_[[#This Row],[Quantity]])&lt;=0,"Invalid","Valid"))</f>
        <v>Valid</v>
      </c>
      <c r="P50" t="s">
        <v>341</v>
      </c>
      <c r="Q50" t="str">
        <f>IF(TRIM(RawCustomerSales_[[#This Row],[unit price]]&amp;"")="","Missing",IF(IFERROR(VALUE(RawCustomerSales_[[#This Row],[unit price]]),0)&lt;=0,"Invalid","Valid"))</f>
        <v>Valid</v>
      </c>
      <c r="R50" t="s">
        <v>341</v>
      </c>
      <c r="S50" t="s">
        <v>278</v>
      </c>
      <c r="T50" t="s">
        <v>349</v>
      </c>
      <c r="U50" t="s">
        <v>86</v>
      </c>
      <c r="V50" t="str">
        <f>IF(TRIM(RawCustomerSales_[[#This Row],[Payment Mode]]&amp;"")="","Missing",IF(UPPER(TRIM(RawCustomerSales_[[#This Row],[Payment Mode]]))="UPI","UPI",PROPER(TRIM(RawCustomerSales_[[#This Row],[Payment Mode]]))))</f>
        <v>Net Banking</v>
      </c>
      <c r="W50" t="s">
        <v>25</v>
      </c>
      <c r="X50" s="6" t="str">
        <f>IF(TRIM(RawCustomerSales_[[#This Row],[Order Status]]&amp;"")="","Missing",PROPER(TRIM(RawCustomerSales_[[#This Row],[Order Status]])))</f>
        <v>Delivered</v>
      </c>
      <c r="Y50" s="6" t="str">
        <f>IF(OR(
RawCustomerSales_[[#This Row],[Blank values]]="Missing",
RawCustomerSales_[[#This Row],[invalid quantity]]="Invalid",
RawCustomerSales_[[#This Row],[unit price status]]="Invalid",
RawCustomerSales_[[#This Row],[unit price status]]="Missing"
),"Needs Review","Clean")</f>
        <v>Clean</v>
      </c>
    </row>
    <row r="51" spans="1:25" x14ac:dyDescent="0.3">
      <c r="A51" t="s">
        <v>272</v>
      </c>
      <c r="B51" t="str">
        <f>IF(COUNTIF(RawCustomerSales_[Customer ID],RawCustomerSales_[[#This Row],[Customer ID]])&gt;1,"Duplicate","Unique")</f>
        <v>Unique</v>
      </c>
      <c r="C51" t="s">
        <v>16</v>
      </c>
      <c r="D51" t="s">
        <v>17</v>
      </c>
      <c r="E51" t="str">
        <f>IF(RawCustomerSales_[[#This Row],[Email]]="","missing","available")</f>
        <v>available</v>
      </c>
      <c r="F51" s="5" t="s">
        <v>273</v>
      </c>
      <c r="G51" t="str">
        <f>IF(RawCustomerSales_[[#This Row],[Phone]]="","missing","available")</f>
        <v>available</v>
      </c>
      <c r="H51" t="s">
        <v>19</v>
      </c>
      <c r="I51" t="s">
        <v>20</v>
      </c>
      <c r="J51" t="str">
        <f>IF(OR(RawCustomerSales_[[#This Row],[Gender]]="M",RawCustomerSales_[[#This Row],[Gender]]="male",RawCustomerSales_[[#This Row],[Gender]]="MALE"),"Male","Female")</f>
        <v>Male</v>
      </c>
      <c r="K51" t="s">
        <v>32</v>
      </c>
      <c r="L51" t="str">
        <f>PROPER(TRIM(RawCustomerSales_[[#This Row],[Product]]))</f>
        <v>Mouse</v>
      </c>
      <c r="M51" t="s">
        <v>33</v>
      </c>
      <c r="N51" t="s">
        <v>282</v>
      </c>
      <c r="O51" t="str">
        <f>IF(TRIM(RawCustomerSales_[[#This Row],[Quantity]]&amp;"")="","Missing",IF(VALUE(RawCustomerSales_[[#This Row],[Quantity]])&lt;=0,"Invalid","Valid"))</f>
        <v>Valid</v>
      </c>
      <c r="P51" t="s">
        <v>344</v>
      </c>
      <c r="Q51" t="str">
        <f>IF(TRIM(RawCustomerSales_[[#This Row],[unit price]]&amp;"")="","Missing",IF(IFERROR(VALUE(RawCustomerSales_[[#This Row],[unit price]]),0)&lt;=0,"Invalid","Valid"))</f>
        <v>Valid</v>
      </c>
      <c r="R51" t="s">
        <v>347</v>
      </c>
      <c r="S51" t="s">
        <v>285</v>
      </c>
      <c r="T51" t="s">
        <v>161</v>
      </c>
      <c r="U51" t="s">
        <v>280</v>
      </c>
      <c r="V51" t="str">
        <f>IF(TRIM(RawCustomerSales_[[#This Row],[Payment Mode]]&amp;"")="","Missing",IF(UPPER(TRIM(RawCustomerSales_[[#This Row],[Payment Mode]]))="UPI","UPI",PROPER(TRIM(RawCustomerSales_[[#This Row],[Payment Mode]]))))</f>
        <v>UPI</v>
      </c>
      <c r="W51" t="s">
        <v>25</v>
      </c>
      <c r="X51" s="6" t="str">
        <f>IF(TRIM(RawCustomerSales_[[#This Row],[Order Status]]&amp;"")="","Missing",PROPER(TRIM(RawCustomerSales_[[#This Row],[Order Status]])))</f>
        <v>Delivered</v>
      </c>
      <c r="Y51" s="6" t="str">
        <f>IF(OR(
RawCustomerSales_[[#This Row],[Blank values]]="Missing",
RawCustomerSales_[[#This Row],[invalid quantity]]="Invalid",
RawCustomerSales_[[#This Row],[unit price status]]="Invalid",
RawCustomerSales_[[#This Row],[unit price status]]="Missing"
),"Needs Review","Clean")</f>
        <v>Clean</v>
      </c>
    </row>
  </sheetData>
  <conditionalFormatting sqref="A1:A1048576">
    <cfRule type="duplicateValues" dxfId="4" priority="2"/>
  </conditionalFormatting>
  <conditionalFormatting sqref="F1:F1048576">
    <cfRule type="duplicateValues" dxfId="2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workbookViewId="0">
      <pane ySplit="1" topLeftCell="A3" activePane="bottomLeft" state="frozen"/>
      <selection pane="bottomLeft" activeCell="F11" sqref="F11"/>
    </sheetView>
  </sheetViews>
  <sheetFormatPr defaultRowHeight="14.4" x14ac:dyDescent="0.3"/>
  <cols>
    <col min="1" max="1" width="14" customWidth="1"/>
    <col min="2" max="2" width="20" customWidth="1"/>
    <col min="3" max="3" width="28" customWidth="1"/>
    <col min="4" max="4" width="15" customWidth="1"/>
    <col min="5" max="5" width="16" customWidth="1"/>
    <col min="6" max="7" width="12" customWidth="1"/>
    <col min="8" max="8" width="16" customWidth="1"/>
    <col min="9" max="9" width="18" customWidth="1"/>
    <col min="10" max="10" width="12" customWidth="1"/>
    <col min="11" max="12" width="14" customWidth="1"/>
    <col min="13" max="13" width="12" customWidth="1"/>
    <col min="14" max="16" width="16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274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H2" t="s">
        <v>21</v>
      </c>
      <c r="I2" t="s">
        <v>22</v>
      </c>
      <c r="J2">
        <v>1</v>
      </c>
      <c r="K2">
        <v>50100</v>
      </c>
      <c r="L2" s="2">
        <f t="shared" ref="L2:L29" si="0">J2*K2</f>
        <v>50100</v>
      </c>
      <c r="M2" s="3">
        <v>0.05</v>
      </c>
      <c r="N2" t="s">
        <v>23</v>
      </c>
      <c r="O2" t="s">
        <v>24</v>
      </c>
      <c r="P2" t="s">
        <v>25</v>
      </c>
    </row>
    <row r="3" spans="1:16" x14ac:dyDescent="0.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H3" t="s">
        <v>32</v>
      </c>
      <c r="I3" t="s">
        <v>33</v>
      </c>
      <c r="J3">
        <v>2</v>
      </c>
      <c r="K3">
        <v>1000</v>
      </c>
      <c r="L3" s="2">
        <f t="shared" si="0"/>
        <v>2000</v>
      </c>
      <c r="M3" s="3">
        <v>0.1</v>
      </c>
      <c r="N3" t="s">
        <v>34</v>
      </c>
      <c r="O3" t="s">
        <v>35</v>
      </c>
      <c r="P3" t="s">
        <v>36</v>
      </c>
    </row>
    <row r="4" spans="1:16" x14ac:dyDescent="0.3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H4" t="s">
        <v>43</v>
      </c>
      <c r="I4" t="s">
        <v>44</v>
      </c>
      <c r="J4">
        <v>3</v>
      </c>
      <c r="K4">
        <v>1800</v>
      </c>
      <c r="L4" s="2">
        <f t="shared" si="0"/>
        <v>5400</v>
      </c>
      <c r="M4" s="3">
        <v>0.15</v>
      </c>
      <c r="N4" t="s">
        <v>45</v>
      </c>
      <c r="O4" t="s">
        <v>46</v>
      </c>
      <c r="P4" t="s">
        <v>47</v>
      </c>
    </row>
    <row r="5" spans="1:16" x14ac:dyDescent="0.3">
      <c r="A5" t="s">
        <v>48</v>
      </c>
      <c r="B5" t="s">
        <v>49</v>
      </c>
      <c r="D5" t="s">
        <v>50</v>
      </c>
      <c r="E5" t="s">
        <v>51</v>
      </c>
      <c r="F5" t="s">
        <v>52</v>
      </c>
      <c r="H5" t="s">
        <v>53</v>
      </c>
      <c r="I5" t="s">
        <v>54</v>
      </c>
      <c r="J5">
        <v>4</v>
      </c>
      <c r="K5">
        <v>12400</v>
      </c>
      <c r="L5" s="2">
        <f t="shared" si="0"/>
        <v>49600</v>
      </c>
      <c r="M5" s="3">
        <v>0.05</v>
      </c>
      <c r="N5" t="s">
        <v>55</v>
      </c>
      <c r="O5" t="s">
        <v>56</v>
      </c>
      <c r="P5" t="s">
        <v>57</v>
      </c>
    </row>
    <row r="6" spans="1:16" x14ac:dyDescent="0.3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63</v>
      </c>
      <c r="H6" t="s">
        <v>64</v>
      </c>
      <c r="I6" t="s">
        <v>65</v>
      </c>
      <c r="J6">
        <v>0</v>
      </c>
      <c r="K6">
        <v>15000</v>
      </c>
      <c r="L6" s="2">
        <f t="shared" si="0"/>
        <v>0</v>
      </c>
      <c r="M6" s="3">
        <v>0.1</v>
      </c>
      <c r="N6" t="s">
        <v>66</v>
      </c>
      <c r="O6" t="s">
        <v>67</v>
      </c>
      <c r="P6" t="s">
        <v>68</v>
      </c>
    </row>
    <row r="7" spans="1:16" x14ac:dyDescent="0.3">
      <c r="A7" t="s">
        <v>69</v>
      </c>
      <c r="B7" t="s">
        <v>70</v>
      </c>
      <c r="C7" t="s">
        <v>71</v>
      </c>
      <c r="D7" t="s">
        <v>72</v>
      </c>
      <c r="E7" t="s">
        <v>73</v>
      </c>
      <c r="F7" t="s">
        <v>74</v>
      </c>
      <c r="H7" t="s">
        <v>75</v>
      </c>
      <c r="I7" t="s">
        <v>44</v>
      </c>
      <c r="J7">
        <v>6</v>
      </c>
      <c r="K7">
        <v>2600</v>
      </c>
      <c r="L7" s="2">
        <f t="shared" si="0"/>
        <v>15600</v>
      </c>
      <c r="M7" s="3">
        <v>0.05</v>
      </c>
      <c r="N7" t="s">
        <v>76</v>
      </c>
      <c r="O7" t="s">
        <v>77</v>
      </c>
      <c r="P7" t="s">
        <v>78</v>
      </c>
    </row>
    <row r="8" spans="1:16" x14ac:dyDescent="0.3">
      <c r="A8" t="s">
        <v>79</v>
      </c>
      <c r="B8" t="s">
        <v>80</v>
      </c>
      <c r="C8" t="s">
        <v>81</v>
      </c>
      <c r="D8" t="s">
        <v>82</v>
      </c>
      <c r="E8" t="s">
        <v>83</v>
      </c>
      <c r="F8" t="s">
        <v>84</v>
      </c>
      <c r="H8" t="s">
        <v>21</v>
      </c>
      <c r="I8" t="s">
        <v>22</v>
      </c>
      <c r="J8">
        <v>7</v>
      </c>
      <c r="K8">
        <v>50200</v>
      </c>
      <c r="L8" s="2">
        <f t="shared" si="0"/>
        <v>351400</v>
      </c>
      <c r="M8" s="3">
        <v>0.1</v>
      </c>
      <c r="N8" t="s">
        <v>85</v>
      </c>
      <c r="O8" t="s">
        <v>86</v>
      </c>
      <c r="P8" t="s">
        <v>25</v>
      </c>
    </row>
    <row r="9" spans="1:16" x14ac:dyDescent="0.3">
      <c r="A9" t="s">
        <v>87</v>
      </c>
      <c r="B9" t="s">
        <v>88</v>
      </c>
      <c r="C9" t="s">
        <v>89</v>
      </c>
      <c r="D9" t="s">
        <v>90</v>
      </c>
      <c r="E9" t="s">
        <v>19</v>
      </c>
      <c r="F9" t="s">
        <v>91</v>
      </c>
      <c r="H9" t="s">
        <v>32</v>
      </c>
      <c r="I9" t="s">
        <v>33</v>
      </c>
      <c r="J9">
        <v>8</v>
      </c>
      <c r="K9">
        <v>1100</v>
      </c>
      <c r="L9" s="2">
        <f t="shared" si="0"/>
        <v>8800</v>
      </c>
      <c r="M9" s="3">
        <v>0.15</v>
      </c>
      <c r="N9" t="s">
        <v>92</v>
      </c>
      <c r="O9" t="s">
        <v>24</v>
      </c>
      <c r="P9" t="s">
        <v>36</v>
      </c>
    </row>
    <row r="10" spans="1:16" x14ac:dyDescent="0.3">
      <c r="A10" t="s">
        <v>93</v>
      </c>
      <c r="B10" t="s">
        <v>94</v>
      </c>
      <c r="C10" t="s">
        <v>95</v>
      </c>
      <c r="D10" t="s">
        <v>96</v>
      </c>
      <c r="E10" t="s">
        <v>30</v>
      </c>
      <c r="F10" t="s">
        <v>20</v>
      </c>
      <c r="H10" t="s">
        <v>43</v>
      </c>
      <c r="I10" t="s">
        <v>44</v>
      </c>
      <c r="J10">
        <v>1</v>
      </c>
      <c r="K10">
        <v>1900</v>
      </c>
      <c r="L10" s="2">
        <f t="shared" si="0"/>
        <v>1900</v>
      </c>
      <c r="M10" s="3">
        <v>0.05</v>
      </c>
      <c r="N10" t="s">
        <v>97</v>
      </c>
      <c r="O10" t="s">
        <v>35</v>
      </c>
      <c r="P10" t="s">
        <v>47</v>
      </c>
    </row>
    <row r="11" spans="1:16" x14ac:dyDescent="0.3">
      <c r="A11" t="s">
        <v>98</v>
      </c>
      <c r="B11" t="s">
        <v>99</v>
      </c>
      <c r="C11" t="s">
        <v>100</v>
      </c>
      <c r="D11" t="s">
        <v>101</v>
      </c>
      <c r="E11" t="s">
        <v>41</v>
      </c>
      <c r="F11" t="s">
        <v>31</v>
      </c>
      <c r="H11" t="s">
        <v>53</v>
      </c>
      <c r="I11" t="s">
        <v>54</v>
      </c>
      <c r="J11">
        <v>2</v>
      </c>
      <c r="K11">
        <v>12000</v>
      </c>
      <c r="L11" s="2">
        <f t="shared" si="0"/>
        <v>24000</v>
      </c>
      <c r="M11" s="3">
        <v>0.1</v>
      </c>
      <c r="N11" t="s">
        <v>102</v>
      </c>
      <c r="O11" t="s">
        <v>46</v>
      </c>
      <c r="P11" t="s">
        <v>57</v>
      </c>
    </row>
    <row r="12" spans="1:16" x14ac:dyDescent="0.3">
      <c r="A12" t="s">
        <v>103</v>
      </c>
      <c r="B12" t="s">
        <v>104</v>
      </c>
      <c r="C12" t="s">
        <v>105</v>
      </c>
      <c r="D12" t="s">
        <v>106</v>
      </c>
      <c r="E12" t="s">
        <v>51</v>
      </c>
      <c r="F12" t="s">
        <v>42</v>
      </c>
      <c r="H12" t="s">
        <v>107</v>
      </c>
      <c r="I12" t="s">
        <v>65</v>
      </c>
      <c r="J12">
        <v>3</v>
      </c>
      <c r="K12">
        <v>15100</v>
      </c>
      <c r="L12" s="2">
        <f t="shared" si="0"/>
        <v>45300</v>
      </c>
      <c r="M12" s="3">
        <v>0.05</v>
      </c>
      <c r="N12" t="s">
        <v>108</v>
      </c>
      <c r="O12" t="s">
        <v>56</v>
      </c>
      <c r="P12" t="s">
        <v>68</v>
      </c>
    </row>
    <row r="13" spans="1:16" x14ac:dyDescent="0.3">
      <c r="A13" t="s">
        <v>109</v>
      </c>
      <c r="B13" t="s">
        <v>110</v>
      </c>
      <c r="D13" t="s">
        <v>111</v>
      </c>
      <c r="E13" t="s">
        <v>62</v>
      </c>
      <c r="F13" t="s">
        <v>52</v>
      </c>
      <c r="H13" t="s">
        <v>75</v>
      </c>
      <c r="I13" t="s">
        <v>44</v>
      </c>
      <c r="J13">
        <v>4</v>
      </c>
      <c r="K13">
        <v>2700</v>
      </c>
      <c r="L13" s="2">
        <f t="shared" si="0"/>
        <v>10800</v>
      </c>
      <c r="M13" s="3">
        <v>0.1</v>
      </c>
      <c r="N13" t="s">
        <v>112</v>
      </c>
      <c r="O13" t="s">
        <v>67</v>
      </c>
      <c r="P13" t="s">
        <v>78</v>
      </c>
    </row>
    <row r="14" spans="1:16" x14ac:dyDescent="0.3">
      <c r="A14" t="s">
        <v>113</v>
      </c>
      <c r="B14" t="s">
        <v>114</v>
      </c>
      <c r="C14" t="s">
        <v>115</v>
      </c>
      <c r="D14" t="s">
        <v>116</v>
      </c>
      <c r="E14" t="s">
        <v>73</v>
      </c>
      <c r="F14" t="s">
        <v>63</v>
      </c>
      <c r="H14" t="s">
        <v>21</v>
      </c>
      <c r="I14" t="s">
        <v>22</v>
      </c>
      <c r="J14">
        <v>5</v>
      </c>
      <c r="K14">
        <v>0</v>
      </c>
      <c r="L14" s="2">
        <f t="shared" si="0"/>
        <v>0</v>
      </c>
      <c r="M14" s="3">
        <v>0.15</v>
      </c>
      <c r="N14" t="s">
        <v>117</v>
      </c>
      <c r="O14" t="s">
        <v>77</v>
      </c>
      <c r="P14" t="s">
        <v>25</v>
      </c>
    </row>
    <row r="15" spans="1:16" x14ac:dyDescent="0.3">
      <c r="A15" t="s">
        <v>118</v>
      </c>
      <c r="B15" t="s">
        <v>119</v>
      </c>
      <c r="C15" t="s">
        <v>120</v>
      </c>
      <c r="D15" t="s">
        <v>121</v>
      </c>
      <c r="E15" t="s">
        <v>83</v>
      </c>
      <c r="F15" t="s">
        <v>74</v>
      </c>
      <c r="H15" t="s">
        <v>32</v>
      </c>
      <c r="I15" t="s">
        <v>33</v>
      </c>
      <c r="J15">
        <v>6</v>
      </c>
      <c r="K15">
        <v>1200</v>
      </c>
      <c r="L15" s="2">
        <f t="shared" si="0"/>
        <v>7200</v>
      </c>
      <c r="M15" s="3">
        <v>0.05</v>
      </c>
      <c r="N15" t="s">
        <v>122</v>
      </c>
      <c r="O15" t="s">
        <v>86</v>
      </c>
      <c r="P15" t="s">
        <v>36</v>
      </c>
    </row>
    <row r="16" spans="1:16" x14ac:dyDescent="0.3">
      <c r="A16" t="s">
        <v>123</v>
      </c>
      <c r="B16" t="s">
        <v>124</v>
      </c>
      <c r="C16" t="s">
        <v>125</v>
      </c>
      <c r="D16" t="s">
        <v>126</v>
      </c>
      <c r="E16" t="s">
        <v>19</v>
      </c>
      <c r="F16" t="s">
        <v>84</v>
      </c>
      <c r="H16" t="s">
        <v>43</v>
      </c>
      <c r="I16" t="s">
        <v>44</v>
      </c>
      <c r="J16">
        <v>7</v>
      </c>
      <c r="K16">
        <v>1500</v>
      </c>
      <c r="L16" s="2">
        <f t="shared" si="0"/>
        <v>10500</v>
      </c>
      <c r="M16" s="3">
        <v>0.1</v>
      </c>
      <c r="N16" t="s">
        <v>127</v>
      </c>
      <c r="O16" t="s">
        <v>24</v>
      </c>
      <c r="P16" t="s">
        <v>47</v>
      </c>
    </row>
    <row r="17" spans="1:16" x14ac:dyDescent="0.3">
      <c r="A17" t="s">
        <v>128</v>
      </c>
      <c r="B17" t="s">
        <v>129</v>
      </c>
      <c r="C17" t="s">
        <v>130</v>
      </c>
      <c r="E17" t="s">
        <v>30</v>
      </c>
      <c r="F17" t="s">
        <v>91</v>
      </c>
      <c r="H17" t="s">
        <v>53</v>
      </c>
      <c r="I17" t="s">
        <v>54</v>
      </c>
      <c r="J17">
        <v>8</v>
      </c>
      <c r="K17">
        <v>12100</v>
      </c>
      <c r="L17" s="2">
        <f t="shared" si="0"/>
        <v>96800</v>
      </c>
      <c r="M17" s="3">
        <v>0.05</v>
      </c>
      <c r="N17" t="s">
        <v>131</v>
      </c>
      <c r="O17" t="s">
        <v>35</v>
      </c>
      <c r="P17" t="s">
        <v>57</v>
      </c>
    </row>
    <row r="18" spans="1:16" x14ac:dyDescent="0.3">
      <c r="A18" t="s">
        <v>132</v>
      </c>
      <c r="B18" t="s">
        <v>133</v>
      </c>
      <c r="C18" t="s">
        <v>134</v>
      </c>
      <c r="D18" t="s">
        <v>135</v>
      </c>
      <c r="E18" t="s">
        <v>41</v>
      </c>
      <c r="F18" t="s">
        <v>20</v>
      </c>
      <c r="H18" t="s">
        <v>64</v>
      </c>
      <c r="I18" t="s">
        <v>65</v>
      </c>
      <c r="J18">
        <v>1</v>
      </c>
      <c r="K18">
        <v>15200</v>
      </c>
      <c r="L18" s="2">
        <f t="shared" si="0"/>
        <v>15200</v>
      </c>
      <c r="M18" s="3">
        <v>0.1</v>
      </c>
      <c r="N18" t="s">
        <v>136</v>
      </c>
      <c r="O18" t="s">
        <v>46</v>
      </c>
      <c r="P18" t="s">
        <v>68</v>
      </c>
    </row>
    <row r="19" spans="1:16" x14ac:dyDescent="0.3">
      <c r="A19" t="s">
        <v>137</v>
      </c>
      <c r="B19" t="s">
        <v>138</v>
      </c>
      <c r="C19" t="s">
        <v>139</v>
      </c>
      <c r="D19" t="s">
        <v>140</v>
      </c>
      <c r="E19" t="s">
        <v>51</v>
      </c>
      <c r="F19" t="s">
        <v>31</v>
      </c>
      <c r="H19" t="s">
        <v>75</v>
      </c>
      <c r="I19" t="s">
        <v>44</v>
      </c>
      <c r="J19">
        <v>0</v>
      </c>
      <c r="K19">
        <v>2800</v>
      </c>
      <c r="L19" s="2">
        <f t="shared" si="0"/>
        <v>0</v>
      </c>
      <c r="M19" s="3">
        <v>0.15</v>
      </c>
      <c r="N19" t="s">
        <v>141</v>
      </c>
      <c r="O19" t="s">
        <v>56</v>
      </c>
      <c r="P19" t="s">
        <v>78</v>
      </c>
    </row>
    <row r="20" spans="1:16" x14ac:dyDescent="0.3">
      <c r="A20" t="s">
        <v>142</v>
      </c>
      <c r="B20" t="s">
        <v>143</v>
      </c>
      <c r="C20" t="s">
        <v>144</v>
      </c>
      <c r="D20" t="s">
        <v>145</v>
      </c>
      <c r="E20" t="s">
        <v>62</v>
      </c>
      <c r="F20" t="s">
        <v>42</v>
      </c>
      <c r="H20" t="s">
        <v>21</v>
      </c>
      <c r="I20" t="s">
        <v>22</v>
      </c>
      <c r="J20">
        <v>3</v>
      </c>
      <c r="K20">
        <v>50400</v>
      </c>
      <c r="L20" s="2">
        <f t="shared" si="0"/>
        <v>151200</v>
      </c>
      <c r="M20" s="3">
        <v>0.05</v>
      </c>
      <c r="N20" t="s">
        <v>146</v>
      </c>
      <c r="O20" t="s">
        <v>67</v>
      </c>
      <c r="P20" t="s">
        <v>25</v>
      </c>
    </row>
    <row r="21" spans="1:16" x14ac:dyDescent="0.3">
      <c r="A21" t="s">
        <v>147</v>
      </c>
      <c r="B21" t="s">
        <v>148</v>
      </c>
      <c r="C21" t="s">
        <v>149</v>
      </c>
      <c r="D21" t="s">
        <v>150</v>
      </c>
      <c r="E21" t="s">
        <v>73</v>
      </c>
      <c r="F21" t="s">
        <v>52</v>
      </c>
      <c r="H21" t="s">
        <v>32</v>
      </c>
      <c r="I21" t="s">
        <v>33</v>
      </c>
      <c r="J21">
        <v>4</v>
      </c>
      <c r="K21">
        <v>800</v>
      </c>
      <c r="L21" s="2">
        <f t="shared" si="0"/>
        <v>3200</v>
      </c>
      <c r="M21" s="3">
        <v>0.1</v>
      </c>
      <c r="N21" t="s">
        <v>151</v>
      </c>
      <c r="O21" t="s">
        <v>77</v>
      </c>
      <c r="P21" t="s">
        <v>36</v>
      </c>
    </row>
    <row r="22" spans="1:16" x14ac:dyDescent="0.3">
      <c r="A22" t="s">
        <v>152</v>
      </c>
      <c r="B22" t="s">
        <v>153</v>
      </c>
      <c r="C22" t="s">
        <v>154</v>
      </c>
      <c r="D22" t="s">
        <v>155</v>
      </c>
      <c r="E22" t="s">
        <v>83</v>
      </c>
      <c r="F22" t="s">
        <v>63</v>
      </c>
      <c r="H22" t="s">
        <v>43</v>
      </c>
      <c r="I22" t="s">
        <v>44</v>
      </c>
      <c r="J22">
        <v>5</v>
      </c>
      <c r="K22">
        <v>1600</v>
      </c>
      <c r="L22" s="2">
        <f t="shared" si="0"/>
        <v>8000</v>
      </c>
      <c r="M22" s="3">
        <v>0.05</v>
      </c>
      <c r="N22" t="s">
        <v>156</v>
      </c>
      <c r="O22" t="s">
        <v>86</v>
      </c>
      <c r="P22" t="s">
        <v>47</v>
      </c>
    </row>
    <row r="23" spans="1:16" x14ac:dyDescent="0.3">
      <c r="A23" t="s">
        <v>157</v>
      </c>
      <c r="B23" t="s">
        <v>158</v>
      </c>
      <c r="C23" t="s">
        <v>159</v>
      </c>
      <c r="D23" t="s">
        <v>160</v>
      </c>
      <c r="E23" t="s">
        <v>19</v>
      </c>
      <c r="F23" t="s">
        <v>74</v>
      </c>
      <c r="H23" t="s">
        <v>53</v>
      </c>
      <c r="I23" t="s">
        <v>54</v>
      </c>
      <c r="J23">
        <v>-2</v>
      </c>
      <c r="K23">
        <v>12200</v>
      </c>
      <c r="L23" s="2">
        <f t="shared" si="0"/>
        <v>-24400</v>
      </c>
      <c r="M23" s="3">
        <v>0.1</v>
      </c>
      <c r="N23" t="s">
        <v>161</v>
      </c>
      <c r="O23" t="s">
        <v>24</v>
      </c>
      <c r="P23" t="s">
        <v>57</v>
      </c>
    </row>
    <row r="24" spans="1:16" x14ac:dyDescent="0.3">
      <c r="A24" t="s">
        <v>162</v>
      </c>
      <c r="B24" t="s">
        <v>163</v>
      </c>
      <c r="C24" t="s">
        <v>164</v>
      </c>
      <c r="D24" t="s">
        <v>165</v>
      </c>
      <c r="E24" t="s">
        <v>30</v>
      </c>
      <c r="F24" t="s">
        <v>84</v>
      </c>
      <c r="H24" t="s">
        <v>64</v>
      </c>
      <c r="I24" t="s">
        <v>65</v>
      </c>
      <c r="J24">
        <v>7</v>
      </c>
      <c r="K24">
        <v>15300</v>
      </c>
      <c r="L24" s="2">
        <f t="shared" si="0"/>
        <v>107100</v>
      </c>
      <c r="M24" s="3">
        <v>0.15</v>
      </c>
      <c r="N24" t="s">
        <v>166</v>
      </c>
      <c r="O24" t="s">
        <v>35</v>
      </c>
      <c r="P24" t="s">
        <v>68</v>
      </c>
    </row>
    <row r="25" spans="1:16" x14ac:dyDescent="0.3">
      <c r="A25" t="s">
        <v>167</v>
      </c>
      <c r="B25" t="s">
        <v>168</v>
      </c>
      <c r="C25" t="s">
        <v>169</v>
      </c>
      <c r="D25" t="s">
        <v>170</v>
      </c>
      <c r="E25" t="s">
        <v>41</v>
      </c>
      <c r="F25" t="s">
        <v>91</v>
      </c>
      <c r="H25" t="s">
        <v>75</v>
      </c>
      <c r="I25" t="s">
        <v>44</v>
      </c>
      <c r="J25">
        <v>8</v>
      </c>
      <c r="K25">
        <v>2900</v>
      </c>
      <c r="L25" s="2">
        <f t="shared" si="0"/>
        <v>23200</v>
      </c>
      <c r="M25" s="3">
        <v>0.05</v>
      </c>
      <c r="N25" t="s">
        <v>171</v>
      </c>
      <c r="O25" t="s">
        <v>46</v>
      </c>
      <c r="P25" t="s">
        <v>78</v>
      </c>
    </row>
    <row r="26" spans="1:16" x14ac:dyDescent="0.3">
      <c r="A26" t="s">
        <v>172</v>
      </c>
      <c r="B26" t="s">
        <v>173</v>
      </c>
      <c r="C26" t="s">
        <v>174</v>
      </c>
      <c r="D26" t="s">
        <v>82</v>
      </c>
      <c r="E26" t="s">
        <v>51</v>
      </c>
      <c r="F26" t="s">
        <v>20</v>
      </c>
      <c r="H26" t="s">
        <v>21</v>
      </c>
      <c r="I26" t="s">
        <v>22</v>
      </c>
      <c r="J26">
        <v>1</v>
      </c>
      <c r="K26">
        <v>50000</v>
      </c>
      <c r="L26" s="2">
        <f t="shared" si="0"/>
        <v>50000</v>
      </c>
      <c r="M26" s="3">
        <v>0.1</v>
      </c>
      <c r="N26" t="s">
        <v>175</v>
      </c>
      <c r="O26" t="s">
        <v>56</v>
      </c>
      <c r="P26" t="s">
        <v>25</v>
      </c>
    </row>
    <row r="27" spans="1:16" x14ac:dyDescent="0.3">
      <c r="A27" t="s">
        <v>176</v>
      </c>
      <c r="B27" t="s">
        <v>177</v>
      </c>
      <c r="C27" t="s">
        <v>178</v>
      </c>
      <c r="D27" t="s">
        <v>179</v>
      </c>
      <c r="E27" t="s">
        <v>62</v>
      </c>
      <c r="F27" t="s">
        <v>31</v>
      </c>
      <c r="H27" t="s">
        <v>32</v>
      </c>
      <c r="I27" t="s">
        <v>33</v>
      </c>
      <c r="J27">
        <v>2</v>
      </c>
      <c r="K27">
        <v>900</v>
      </c>
      <c r="L27" s="2">
        <f t="shared" si="0"/>
        <v>1800</v>
      </c>
      <c r="M27" s="3">
        <v>0.05</v>
      </c>
      <c r="N27" t="s">
        <v>180</v>
      </c>
      <c r="O27" t="s">
        <v>67</v>
      </c>
      <c r="P27" t="s">
        <v>36</v>
      </c>
    </row>
    <row r="28" spans="1:16" x14ac:dyDescent="0.3">
      <c r="A28" t="s">
        <v>181</v>
      </c>
      <c r="B28" t="s">
        <v>182</v>
      </c>
      <c r="C28" t="s">
        <v>183</v>
      </c>
      <c r="D28" t="s">
        <v>184</v>
      </c>
      <c r="E28" t="s">
        <v>73</v>
      </c>
      <c r="F28" t="s">
        <v>42</v>
      </c>
      <c r="H28" t="s">
        <v>43</v>
      </c>
      <c r="I28" t="s">
        <v>44</v>
      </c>
      <c r="J28">
        <v>3</v>
      </c>
      <c r="K28">
        <v>1700</v>
      </c>
      <c r="L28" s="2">
        <f t="shared" si="0"/>
        <v>5100</v>
      </c>
      <c r="M28" s="3">
        <v>0.1</v>
      </c>
      <c r="N28" t="s">
        <v>185</v>
      </c>
      <c r="O28" t="s">
        <v>77</v>
      </c>
      <c r="P28" t="s">
        <v>47</v>
      </c>
    </row>
    <row r="29" spans="1:16" x14ac:dyDescent="0.3">
      <c r="A29" t="s">
        <v>186</v>
      </c>
      <c r="B29" t="s">
        <v>187</v>
      </c>
      <c r="C29" t="s">
        <v>188</v>
      </c>
      <c r="D29" t="s">
        <v>189</v>
      </c>
      <c r="E29" t="s">
        <v>83</v>
      </c>
      <c r="F29" t="s">
        <v>52</v>
      </c>
      <c r="H29" t="s">
        <v>53</v>
      </c>
      <c r="I29" t="s">
        <v>54</v>
      </c>
      <c r="J29">
        <v>4</v>
      </c>
      <c r="K29">
        <v>12300</v>
      </c>
      <c r="L29" s="2">
        <f t="shared" si="0"/>
        <v>49200</v>
      </c>
      <c r="M29" s="3">
        <v>0.15</v>
      </c>
      <c r="N29" t="s">
        <v>190</v>
      </c>
      <c r="O29" t="s">
        <v>86</v>
      </c>
      <c r="P29" t="s">
        <v>57</v>
      </c>
    </row>
    <row r="30" spans="1:16" x14ac:dyDescent="0.3">
      <c r="A30" t="s">
        <v>191</v>
      </c>
      <c r="B30" t="s">
        <v>192</v>
      </c>
      <c r="C30" t="s">
        <v>193</v>
      </c>
      <c r="D30" t="s">
        <v>194</v>
      </c>
      <c r="E30" t="s">
        <v>19</v>
      </c>
      <c r="F30" t="s">
        <v>63</v>
      </c>
      <c r="H30" t="s">
        <v>64</v>
      </c>
      <c r="I30" t="s">
        <v>65</v>
      </c>
      <c r="J30">
        <v>5</v>
      </c>
      <c r="L30" s="2"/>
      <c r="M30" s="3">
        <v>0.05</v>
      </c>
      <c r="N30" t="s">
        <v>23</v>
      </c>
      <c r="O30" t="s">
        <v>24</v>
      </c>
      <c r="P30" t="s">
        <v>68</v>
      </c>
    </row>
    <row r="31" spans="1:16" x14ac:dyDescent="0.3">
      <c r="A31" t="s">
        <v>195</v>
      </c>
      <c r="B31" t="s">
        <v>196</v>
      </c>
      <c r="C31" t="s">
        <v>197</v>
      </c>
      <c r="D31" t="s">
        <v>198</v>
      </c>
      <c r="E31" t="s">
        <v>30</v>
      </c>
      <c r="F31" t="s">
        <v>74</v>
      </c>
      <c r="H31" t="s">
        <v>75</v>
      </c>
      <c r="I31" t="s">
        <v>44</v>
      </c>
      <c r="J31">
        <v>6</v>
      </c>
      <c r="K31">
        <v>2500</v>
      </c>
      <c r="L31" s="2">
        <f t="shared" ref="L31:L51" si="1">J31*K31</f>
        <v>15000</v>
      </c>
      <c r="M31" s="3">
        <v>0.1</v>
      </c>
      <c r="N31" t="s">
        <v>34</v>
      </c>
      <c r="O31" t="s">
        <v>35</v>
      </c>
    </row>
    <row r="32" spans="1:16" x14ac:dyDescent="0.3">
      <c r="A32" t="s">
        <v>199</v>
      </c>
      <c r="B32" t="s">
        <v>200</v>
      </c>
      <c r="C32" t="s">
        <v>201</v>
      </c>
      <c r="D32" t="s">
        <v>202</v>
      </c>
      <c r="E32" t="s">
        <v>41</v>
      </c>
      <c r="F32" t="s">
        <v>84</v>
      </c>
      <c r="H32" t="s">
        <v>21</v>
      </c>
      <c r="I32" t="s">
        <v>22</v>
      </c>
      <c r="J32">
        <v>7</v>
      </c>
      <c r="K32">
        <v>50100</v>
      </c>
      <c r="L32" s="2">
        <f t="shared" si="1"/>
        <v>350700</v>
      </c>
      <c r="M32" s="3">
        <v>0.05</v>
      </c>
      <c r="N32" t="s">
        <v>45</v>
      </c>
      <c r="O32" t="s">
        <v>46</v>
      </c>
      <c r="P32" t="s">
        <v>25</v>
      </c>
    </row>
    <row r="33" spans="1:16" x14ac:dyDescent="0.3">
      <c r="A33" t="s">
        <v>203</v>
      </c>
      <c r="B33" t="s">
        <v>204</v>
      </c>
      <c r="C33" t="s">
        <v>205</v>
      </c>
      <c r="D33" t="s">
        <v>206</v>
      </c>
      <c r="E33" t="s">
        <v>51</v>
      </c>
      <c r="F33" t="s">
        <v>91</v>
      </c>
      <c r="H33" t="s">
        <v>32</v>
      </c>
      <c r="I33" t="s">
        <v>33</v>
      </c>
      <c r="J33">
        <v>8</v>
      </c>
      <c r="K33">
        <v>1000</v>
      </c>
      <c r="L33" s="2">
        <f t="shared" si="1"/>
        <v>8000</v>
      </c>
      <c r="M33" s="3">
        <v>0.1</v>
      </c>
      <c r="N33" t="s">
        <v>55</v>
      </c>
      <c r="O33" t="s">
        <v>56</v>
      </c>
      <c r="P33" t="s">
        <v>36</v>
      </c>
    </row>
    <row r="34" spans="1:16" x14ac:dyDescent="0.3">
      <c r="A34" t="s">
        <v>207</v>
      </c>
      <c r="B34" t="s">
        <v>208</v>
      </c>
      <c r="C34" t="s">
        <v>209</v>
      </c>
      <c r="D34" t="s">
        <v>210</v>
      </c>
      <c r="E34" t="s">
        <v>62</v>
      </c>
      <c r="F34" t="s">
        <v>20</v>
      </c>
      <c r="H34" t="s">
        <v>43</v>
      </c>
      <c r="I34" t="s">
        <v>44</v>
      </c>
      <c r="J34">
        <v>1</v>
      </c>
      <c r="K34">
        <v>1800</v>
      </c>
      <c r="L34" s="2">
        <f t="shared" si="1"/>
        <v>1800</v>
      </c>
      <c r="M34" s="3">
        <v>0.15</v>
      </c>
      <c r="N34" t="s">
        <v>66</v>
      </c>
      <c r="O34" t="s">
        <v>67</v>
      </c>
      <c r="P34" t="s">
        <v>47</v>
      </c>
    </row>
    <row r="35" spans="1:16" x14ac:dyDescent="0.3">
      <c r="A35" t="s">
        <v>211</v>
      </c>
      <c r="B35" t="s">
        <v>212</v>
      </c>
      <c r="D35" t="s">
        <v>213</v>
      </c>
      <c r="E35" t="s">
        <v>73</v>
      </c>
      <c r="F35" t="s">
        <v>31</v>
      </c>
      <c r="H35" t="s">
        <v>53</v>
      </c>
      <c r="I35" t="s">
        <v>54</v>
      </c>
      <c r="J35">
        <v>2</v>
      </c>
      <c r="K35">
        <v>12400</v>
      </c>
      <c r="L35" s="2">
        <f t="shared" si="1"/>
        <v>24800</v>
      </c>
      <c r="M35" s="3">
        <v>0.05</v>
      </c>
      <c r="N35" t="s">
        <v>76</v>
      </c>
      <c r="O35" t="s">
        <v>77</v>
      </c>
      <c r="P35" t="s">
        <v>57</v>
      </c>
    </row>
    <row r="36" spans="1:16" x14ac:dyDescent="0.3">
      <c r="A36" t="s">
        <v>214</v>
      </c>
      <c r="B36" t="s">
        <v>215</v>
      </c>
      <c r="C36" t="s">
        <v>216</v>
      </c>
      <c r="D36" t="s">
        <v>217</v>
      </c>
      <c r="E36" t="s">
        <v>83</v>
      </c>
      <c r="F36" t="s">
        <v>42</v>
      </c>
      <c r="H36" t="s">
        <v>64</v>
      </c>
      <c r="I36" t="s">
        <v>65</v>
      </c>
      <c r="J36">
        <v>3</v>
      </c>
      <c r="K36">
        <v>15000</v>
      </c>
      <c r="L36" s="2">
        <f t="shared" si="1"/>
        <v>45000</v>
      </c>
      <c r="M36" s="3">
        <v>0.1</v>
      </c>
      <c r="N36" t="s">
        <v>85</v>
      </c>
      <c r="O36" t="s">
        <v>86</v>
      </c>
      <c r="P36" t="s">
        <v>68</v>
      </c>
    </row>
    <row r="37" spans="1:16" x14ac:dyDescent="0.3">
      <c r="A37" t="s">
        <v>218</v>
      </c>
      <c r="B37" t="s">
        <v>219</v>
      </c>
      <c r="C37" t="s">
        <v>220</v>
      </c>
      <c r="D37" t="s">
        <v>221</v>
      </c>
      <c r="E37" t="s">
        <v>19</v>
      </c>
      <c r="F37" t="s">
        <v>52</v>
      </c>
      <c r="H37" t="s">
        <v>75</v>
      </c>
      <c r="I37" t="s">
        <v>44</v>
      </c>
      <c r="J37">
        <v>4</v>
      </c>
      <c r="K37">
        <v>2600</v>
      </c>
      <c r="L37" s="2">
        <f t="shared" si="1"/>
        <v>10400</v>
      </c>
      <c r="M37" s="3">
        <v>0.05</v>
      </c>
      <c r="N37" t="s">
        <v>92</v>
      </c>
      <c r="O37" t="s">
        <v>24</v>
      </c>
      <c r="P37" t="s">
        <v>78</v>
      </c>
    </row>
    <row r="38" spans="1:16" x14ac:dyDescent="0.3">
      <c r="A38" t="s">
        <v>222</v>
      </c>
      <c r="B38" t="s">
        <v>223</v>
      </c>
      <c r="C38" t="s">
        <v>224</v>
      </c>
      <c r="D38" t="s">
        <v>225</v>
      </c>
      <c r="E38" t="s">
        <v>30</v>
      </c>
      <c r="F38" t="s">
        <v>63</v>
      </c>
      <c r="H38" t="s">
        <v>226</v>
      </c>
      <c r="I38" t="s">
        <v>22</v>
      </c>
      <c r="J38">
        <v>5</v>
      </c>
      <c r="K38">
        <v>50200</v>
      </c>
      <c r="L38" s="2">
        <f t="shared" si="1"/>
        <v>251000</v>
      </c>
      <c r="M38" s="3">
        <v>0.1</v>
      </c>
      <c r="N38" t="s">
        <v>97</v>
      </c>
      <c r="O38" t="s">
        <v>35</v>
      </c>
      <c r="P38" t="s">
        <v>25</v>
      </c>
    </row>
    <row r="39" spans="1:16" x14ac:dyDescent="0.3">
      <c r="A39" t="s">
        <v>227</v>
      </c>
      <c r="B39" t="s">
        <v>228</v>
      </c>
      <c r="C39" t="s">
        <v>229</v>
      </c>
      <c r="D39" t="s">
        <v>230</v>
      </c>
      <c r="E39" t="s">
        <v>41</v>
      </c>
      <c r="F39" t="s">
        <v>74</v>
      </c>
      <c r="H39" t="s">
        <v>32</v>
      </c>
      <c r="I39" t="s">
        <v>33</v>
      </c>
      <c r="J39">
        <v>6</v>
      </c>
      <c r="K39">
        <v>1100</v>
      </c>
      <c r="L39" s="2">
        <f t="shared" si="1"/>
        <v>6600</v>
      </c>
      <c r="M39" s="3">
        <v>0.15</v>
      </c>
      <c r="N39" t="s">
        <v>102</v>
      </c>
      <c r="O39" t="s">
        <v>46</v>
      </c>
      <c r="P39" t="s">
        <v>36</v>
      </c>
    </row>
    <row r="40" spans="1:16" x14ac:dyDescent="0.3">
      <c r="A40" t="s">
        <v>231</v>
      </c>
      <c r="B40" t="s">
        <v>232</v>
      </c>
      <c r="C40" t="s">
        <v>233</v>
      </c>
      <c r="D40" t="s">
        <v>234</v>
      </c>
      <c r="E40" t="s">
        <v>51</v>
      </c>
      <c r="F40" t="s">
        <v>84</v>
      </c>
      <c r="H40" t="s">
        <v>43</v>
      </c>
      <c r="I40" t="s">
        <v>44</v>
      </c>
      <c r="J40">
        <v>0</v>
      </c>
      <c r="K40">
        <v>1900</v>
      </c>
      <c r="L40" s="2">
        <f t="shared" si="1"/>
        <v>0</v>
      </c>
      <c r="M40" s="3">
        <v>0.05</v>
      </c>
      <c r="N40" t="s">
        <v>108</v>
      </c>
      <c r="O40" t="s">
        <v>56</v>
      </c>
      <c r="P40" t="s">
        <v>47</v>
      </c>
    </row>
    <row r="41" spans="1:16" x14ac:dyDescent="0.3">
      <c r="A41" t="s">
        <v>235</v>
      </c>
      <c r="B41" t="s">
        <v>236</v>
      </c>
      <c r="C41" t="s">
        <v>237</v>
      </c>
      <c r="D41" t="s">
        <v>238</v>
      </c>
      <c r="E41" t="s">
        <v>62</v>
      </c>
      <c r="F41" t="s">
        <v>91</v>
      </c>
      <c r="H41" t="s">
        <v>53</v>
      </c>
      <c r="I41" t="s">
        <v>54</v>
      </c>
      <c r="J41">
        <v>8</v>
      </c>
      <c r="K41">
        <v>12000</v>
      </c>
      <c r="L41" s="2">
        <f t="shared" si="1"/>
        <v>96000</v>
      </c>
      <c r="M41" s="3">
        <v>0.1</v>
      </c>
      <c r="N41" t="s">
        <v>112</v>
      </c>
      <c r="O41" t="s">
        <v>67</v>
      </c>
      <c r="P41" t="s">
        <v>57</v>
      </c>
    </row>
    <row r="42" spans="1:16" x14ac:dyDescent="0.3">
      <c r="A42" t="s">
        <v>239</v>
      </c>
      <c r="B42" t="s">
        <v>240</v>
      </c>
      <c r="C42" t="s">
        <v>241</v>
      </c>
      <c r="D42" t="s">
        <v>242</v>
      </c>
      <c r="E42" t="s">
        <v>73</v>
      </c>
      <c r="F42" t="s">
        <v>20</v>
      </c>
      <c r="H42" t="s">
        <v>64</v>
      </c>
      <c r="I42" t="s">
        <v>65</v>
      </c>
      <c r="J42">
        <v>1</v>
      </c>
      <c r="K42">
        <v>15100</v>
      </c>
      <c r="L42" s="2">
        <f t="shared" si="1"/>
        <v>15100</v>
      </c>
      <c r="M42" s="3">
        <v>0.05</v>
      </c>
      <c r="N42" t="s">
        <v>117</v>
      </c>
      <c r="O42" t="s">
        <v>77</v>
      </c>
      <c r="P42" t="s">
        <v>68</v>
      </c>
    </row>
    <row r="43" spans="1:16" x14ac:dyDescent="0.3">
      <c r="A43" t="s">
        <v>243</v>
      </c>
      <c r="B43" t="s">
        <v>244</v>
      </c>
      <c r="C43" t="s">
        <v>245</v>
      </c>
      <c r="D43" t="s">
        <v>246</v>
      </c>
      <c r="E43" t="s">
        <v>83</v>
      </c>
      <c r="F43" t="s">
        <v>31</v>
      </c>
      <c r="H43" t="s">
        <v>75</v>
      </c>
      <c r="I43" t="s">
        <v>44</v>
      </c>
      <c r="J43">
        <v>2</v>
      </c>
      <c r="K43">
        <v>2700</v>
      </c>
      <c r="L43" s="2">
        <f t="shared" si="1"/>
        <v>5400</v>
      </c>
      <c r="M43" s="3">
        <v>0.1</v>
      </c>
      <c r="N43" t="s">
        <v>122</v>
      </c>
      <c r="O43" t="s">
        <v>86</v>
      </c>
      <c r="P43" t="s">
        <v>78</v>
      </c>
    </row>
    <row r="44" spans="1:16" x14ac:dyDescent="0.3">
      <c r="A44" t="s">
        <v>247</v>
      </c>
      <c r="B44" t="s">
        <v>248</v>
      </c>
      <c r="C44" t="s">
        <v>249</v>
      </c>
      <c r="D44" t="s">
        <v>250</v>
      </c>
      <c r="E44" t="s">
        <v>19</v>
      </c>
      <c r="F44" t="s">
        <v>42</v>
      </c>
      <c r="H44" t="s">
        <v>21</v>
      </c>
      <c r="I44" t="s">
        <v>22</v>
      </c>
      <c r="J44">
        <v>3</v>
      </c>
      <c r="K44">
        <v>50300</v>
      </c>
      <c r="L44" s="2">
        <f t="shared" si="1"/>
        <v>150900</v>
      </c>
      <c r="M44" s="3">
        <v>0.15</v>
      </c>
      <c r="N44" t="s">
        <v>127</v>
      </c>
      <c r="O44" t="s">
        <v>24</v>
      </c>
      <c r="P44" t="s">
        <v>25</v>
      </c>
    </row>
    <row r="45" spans="1:16" x14ac:dyDescent="0.3">
      <c r="A45" t="s">
        <v>251</v>
      </c>
      <c r="B45" t="s">
        <v>252</v>
      </c>
      <c r="D45" t="s">
        <v>253</v>
      </c>
      <c r="E45" t="s">
        <v>30</v>
      </c>
      <c r="F45" t="s">
        <v>52</v>
      </c>
      <c r="H45" t="s">
        <v>32</v>
      </c>
      <c r="I45" t="s">
        <v>33</v>
      </c>
      <c r="J45">
        <v>4</v>
      </c>
      <c r="K45">
        <v>1200</v>
      </c>
      <c r="L45" s="2">
        <f t="shared" si="1"/>
        <v>4800</v>
      </c>
      <c r="M45" s="3">
        <v>0.05</v>
      </c>
      <c r="N45" t="s">
        <v>131</v>
      </c>
      <c r="O45" t="s">
        <v>35</v>
      </c>
      <c r="P45" t="s">
        <v>36</v>
      </c>
    </row>
    <row r="46" spans="1:16" x14ac:dyDescent="0.3">
      <c r="A46" t="s">
        <v>254</v>
      </c>
      <c r="B46" t="s">
        <v>255</v>
      </c>
      <c r="C46" t="s">
        <v>256</v>
      </c>
      <c r="D46" t="s">
        <v>257</v>
      </c>
      <c r="E46" t="s">
        <v>41</v>
      </c>
      <c r="F46" t="s">
        <v>63</v>
      </c>
      <c r="H46" t="s">
        <v>43</v>
      </c>
      <c r="I46" t="s">
        <v>44</v>
      </c>
      <c r="J46">
        <v>5</v>
      </c>
      <c r="K46">
        <v>1500</v>
      </c>
      <c r="L46" s="2">
        <f t="shared" si="1"/>
        <v>7500</v>
      </c>
      <c r="M46" s="3">
        <v>0.1</v>
      </c>
      <c r="N46" t="s">
        <v>136</v>
      </c>
      <c r="O46" t="s">
        <v>46</v>
      </c>
      <c r="P46" t="s">
        <v>47</v>
      </c>
    </row>
    <row r="47" spans="1:16" x14ac:dyDescent="0.3">
      <c r="A47" t="s">
        <v>258</v>
      </c>
      <c r="B47" t="s">
        <v>259</v>
      </c>
      <c r="C47" t="s">
        <v>260</v>
      </c>
      <c r="D47" t="s">
        <v>261</v>
      </c>
      <c r="E47" t="s">
        <v>51</v>
      </c>
      <c r="F47" t="s">
        <v>74</v>
      </c>
      <c r="H47" t="s">
        <v>53</v>
      </c>
      <c r="I47" t="s">
        <v>54</v>
      </c>
      <c r="J47">
        <v>6</v>
      </c>
      <c r="K47">
        <v>0</v>
      </c>
      <c r="L47" s="2">
        <f t="shared" si="1"/>
        <v>0</v>
      </c>
      <c r="M47" s="3">
        <v>0.05</v>
      </c>
      <c r="N47" t="s">
        <v>141</v>
      </c>
      <c r="O47" t="s">
        <v>56</v>
      </c>
      <c r="P47" t="s">
        <v>57</v>
      </c>
    </row>
    <row r="48" spans="1:16" x14ac:dyDescent="0.3">
      <c r="A48" t="s">
        <v>262</v>
      </c>
      <c r="B48" t="s">
        <v>263</v>
      </c>
      <c r="C48" t="s">
        <v>264</v>
      </c>
      <c r="D48" t="s">
        <v>265</v>
      </c>
      <c r="E48" t="s">
        <v>62</v>
      </c>
      <c r="F48" t="s">
        <v>84</v>
      </c>
      <c r="H48" t="s">
        <v>64</v>
      </c>
      <c r="I48" t="s">
        <v>65</v>
      </c>
      <c r="J48">
        <v>7</v>
      </c>
      <c r="K48">
        <v>15200</v>
      </c>
      <c r="L48" s="2">
        <f t="shared" si="1"/>
        <v>106400</v>
      </c>
      <c r="M48" s="3">
        <v>0.1</v>
      </c>
      <c r="N48" t="s">
        <v>146</v>
      </c>
      <c r="O48" t="s">
        <v>67</v>
      </c>
      <c r="P48" t="s">
        <v>68</v>
      </c>
    </row>
    <row r="49" spans="1:16" x14ac:dyDescent="0.3">
      <c r="A49" t="s">
        <v>266</v>
      </c>
      <c r="B49" t="s">
        <v>267</v>
      </c>
      <c r="C49" t="s">
        <v>268</v>
      </c>
      <c r="D49" t="s">
        <v>269</v>
      </c>
      <c r="E49" t="s">
        <v>73</v>
      </c>
      <c r="F49" t="s">
        <v>91</v>
      </c>
      <c r="H49" t="s">
        <v>75</v>
      </c>
      <c r="I49" t="s">
        <v>44</v>
      </c>
      <c r="J49">
        <v>-2</v>
      </c>
      <c r="K49">
        <v>2800</v>
      </c>
      <c r="L49" s="2">
        <f t="shared" si="1"/>
        <v>-5600</v>
      </c>
      <c r="M49" s="3">
        <v>0.15</v>
      </c>
      <c r="N49" t="s">
        <v>151</v>
      </c>
      <c r="O49" t="s">
        <v>77</v>
      </c>
      <c r="P49" t="s">
        <v>78</v>
      </c>
    </row>
    <row r="50" spans="1:16" x14ac:dyDescent="0.3">
      <c r="A50" t="s">
        <v>270</v>
      </c>
      <c r="B50" t="s">
        <v>153</v>
      </c>
      <c r="C50" t="s">
        <v>154</v>
      </c>
      <c r="D50" t="s">
        <v>271</v>
      </c>
      <c r="E50" t="s">
        <v>83</v>
      </c>
      <c r="F50" t="s">
        <v>20</v>
      </c>
      <c r="H50" t="s">
        <v>21</v>
      </c>
      <c r="I50" t="s">
        <v>22</v>
      </c>
      <c r="J50">
        <v>1</v>
      </c>
      <c r="K50">
        <v>50400</v>
      </c>
      <c r="L50" s="2">
        <f t="shared" si="1"/>
        <v>50400</v>
      </c>
      <c r="M50" s="3">
        <v>0.05</v>
      </c>
      <c r="N50" t="s">
        <v>156</v>
      </c>
      <c r="O50" t="s">
        <v>86</v>
      </c>
      <c r="P50" t="s">
        <v>25</v>
      </c>
    </row>
    <row r="51" spans="1:16" x14ac:dyDescent="0.3">
      <c r="A51" t="s">
        <v>272</v>
      </c>
      <c r="B51" t="s">
        <v>16</v>
      </c>
      <c r="C51" t="s">
        <v>17</v>
      </c>
      <c r="D51" t="s">
        <v>273</v>
      </c>
      <c r="E51" t="s">
        <v>19</v>
      </c>
      <c r="F51" t="s">
        <v>31</v>
      </c>
      <c r="H51" t="s">
        <v>32</v>
      </c>
      <c r="I51" t="s">
        <v>33</v>
      </c>
      <c r="J51">
        <v>2</v>
      </c>
      <c r="K51">
        <v>800</v>
      </c>
      <c r="L51" s="2">
        <f t="shared" si="1"/>
        <v>1600</v>
      </c>
      <c r="M51" s="3">
        <v>0.1</v>
      </c>
      <c r="N51" t="s">
        <v>161</v>
      </c>
      <c r="O51" t="s">
        <v>24</v>
      </c>
      <c r="P51" t="s">
        <v>36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AD6287-07F5-44F7-A6D5-AA4ED29608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RawCustomerSales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 KUMAR</cp:lastModifiedBy>
  <dcterms:created xsi:type="dcterms:W3CDTF">2026-08-12T05:14:38Z</dcterms:created>
  <dcterms:modified xsi:type="dcterms:W3CDTF">2026-08-14T08:18:26Z</dcterms:modified>
</cp:coreProperties>
</file>