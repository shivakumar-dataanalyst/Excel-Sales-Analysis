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af7f3bc29a7434/Desktop/Assignments/Excel assignments/"/>
    </mc:Choice>
  </mc:AlternateContent>
  <xr:revisionPtr revIDLastSave="34" documentId="8_{119F501C-22AF-49A8-B487-80545B5099DF}" xr6:coauthVersionLast="47" xr6:coauthVersionMax="47" xr10:uidLastSave="{D7F0FE6D-5ECE-4EBF-853D-2BEAF3904F63}"/>
  <bookViews>
    <workbookView xWindow="-108" yWindow="-108" windowWidth="23256" windowHeight="12456" activeTab="5" xr2:uid="{0C706CD5-9155-454C-97B5-F22593D0A4DC}"/>
  </bookViews>
  <sheets>
    <sheet name="Region_by_sales" sheetId="2" r:id="rId1"/>
    <sheet name="TOP5" sheetId="5" r:id="rId2"/>
    <sheet name="monthy_sales" sheetId="6" r:id="rId3"/>
    <sheet name="DASHBOARD" sheetId="7" r:id="rId4"/>
    <sheet name="CATEGORY BY SALES" sheetId="8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H101" i="1"/>
  <c r="J101" i="1" s="1"/>
  <c r="H100" i="1"/>
  <c r="J100" i="1" s="1"/>
  <c r="H99" i="1"/>
  <c r="J99" i="1" s="1"/>
  <c r="H98" i="1"/>
  <c r="J98" i="1" s="1"/>
  <c r="H97" i="1"/>
  <c r="J97" i="1" s="1"/>
  <c r="H96" i="1"/>
  <c r="J96" i="1" s="1"/>
  <c r="H95" i="1"/>
  <c r="J95" i="1" s="1"/>
  <c r="K95" i="1" s="1"/>
  <c r="H94" i="1"/>
  <c r="J94" i="1" s="1"/>
  <c r="K94" i="1" s="1"/>
  <c r="H93" i="1"/>
  <c r="J93" i="1" s="1"/>
  <c r="K93" i="1" s="1"/>
  <c r="H92" i="1"/>
  <c r="J92" i="1" s="1"/>
  <c r="K92" i="1" s="1"/>
  <c r="H91" i="1"/>
  <c r="J91" i="1" s="1"/>
  <c r="K91" i="1" s="1"/>
  <c r="H90" i="1"/>
  <c r="J90" i="1" s="1"/>
  <c r="K90" i="1" s="1"/>
  <c r="H89" i="1"/>
  <c r="J89" i="1" s="1"/>
  <c r="K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K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  <c r="K101" i="1" l="1"/>
  <c r="K100" i="1"/>
  <c r="K99" i="1"/>
  <c r="K98" i="1"/>
  <c r="K97" i="1"/>
  <c r="K96" i="1"/>
  <c r="K88" i="1"/>
  <c r="K87" i="1"/>
  <c r="K86" i="1"/>
  <c r="K85" i="1"/>
  <c r="K84" i="1"/>
  <c r="K83" i="1"/>
  <c r="K82" i="1"/>
  <c r="K81" i="1"/>
  <c r="K80" i="1"/>
  <c r="K79" i="1"/>
  <c r="K78" i="1"/>
  <c r="K77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<sst xmlns="http://schemas.openxmlformats.org/spreadsheetml/2006/main" count="651" uniqueCount="247">
  <si>
    <t>Order ID</t>
  </si>
  <si>
    <t>Date</t>
  </si>
  <si>
    <t>Product</t>
  </si>
  <si>
    <t>Category</t>
  </si>
  <si>
    <t>Region</t>
  </si>
  <si>
    <t>Quantity</t>
  </si>
  <si>
    <t>Unit Price</t>
  </si>
  <si>
    <t>Sales</t>
  </si>
  <si>
    <t>Discount</t>
  </si>
  <si>
    <t>Final Sales</t>
  </si>
  <si>
    <t>Sales Status</t>
  </si>
  <si>
    <t>ORD001</t>
  </si>
  <si>
    <t>Laptop</t>
  </si>
  <si>
    <t>Electronics</t>
  </si>
  <si>
    <t>South</t>
  </si>
  <si>
    <t>ORD002</t>
  </si>
  <si>
    <t>Mouse</t>
  </si>
  <si>
    <t>Accessories</t>
  </si>
  <si>
    <t>East</t>
  </si>
  <si>
    <t>ORD003</t>
  </si>
  <si>
    <t>Keyboard</t>
  </si>
  <si>
    <t>West</t>
  </si>
  <si>
    <t>ORD004</t>
  </si>
  <si>
    <t>Monitor</t>
  </si>
  <si>
    <t>North</t>
  </si>
  <si>
    <t>ORD005</t>
  </si>
  <si>
    <t>Printer</t>
  </si>
  <si>
    <t>ORD006</t>
  </si>
  <si>
    <t>Headphones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</si>
  <si>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</si>
  <si>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</si>
  <si>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</si>
  <si>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</si>
  <si>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</si>
  <si>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</si>
  <si>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</si>
  <si>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</si>
  <si>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</si>
  <si>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</si>
  <si>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</si>
  <si>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</si>
  <si>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</si>
  <si>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</si>
  <si>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</si>
  <si>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</si>
  <si>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</si>
  <si>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</si>
  <si>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</si>
  <si>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</si>
  <si>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</si>
  <si>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</si>
  <si>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</si>
  <si>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</si>
  <si>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</si>
  <si>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</si>
  <si>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</si>
  <si>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</si>
  <si>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</si>
  <si>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</si>
  <si>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</si>
  <si>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</si>
  <si>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</si>
  <si>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</si>
  <si>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</si>
  <si>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</si>
  <si>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</si>
  <si>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</si>
  <si>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</si>
  <si>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</si>
  <si>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</si>
  <si>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</si>
  <si>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</si>
  <si>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</si>
  <si>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</si>
  <si>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</si>
  <si>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</si>
  <si>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</si>
  <si>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</si>
  <si>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</si>
  <si>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</si>
  <si>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</si>
  <si>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</si>
  <si>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</si>
  <si>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</si>
  <si>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</si>
  <si>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</si>
  <si>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</si>
  <si>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</si>
  <si>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</si>
  <si>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</si>
  <si>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</si>
  <si>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</si>
  <si>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</si>
  <si>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</si>
  <si>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</si>
  <si>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</si>
  <si>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</si>
  <si>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</si>
  <si>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</si>
  <si>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</si>
  <si>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</si>
  <si>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</si>
  <si>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</si>
  <si>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</si>
  <si>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</si>
  <si>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</si>
  <si>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</si>
  <si>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</si>
  <si>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</si>
  <si>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</si>
  <si>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</si>
  <si>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</si>
  <si>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</si>
  <si>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</si>
  <si>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</si>
  <si>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</si>
  <si>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</si>
  <si>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</si>
  <si>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</si>
  <si>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</si>
  <si>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</si>
  <si>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</si>
  <si>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</si>
  <si>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Review</t>
  </si>
  <si>
    <t>Column1</t>
  </si>
  <si>
    <t>Column2</t>
  </si>
  <si>
    <t>Excellenet</t>
  </si>
  <si>
    <t>Low</t>
  </si>
  <si>
    <t>Good</t>
  </si>
  <si>
    <t>Row Labels</t>
  </si>
  <si>
    <t>Grand Total</t>
  </si>
  <si>
    <t>Sum of Final Sales</t>
  </si>
  <si>
    <t>Jan</t>
  </si>
  <si>
    <t>Feb</t>
  </si>
  <si>
    <t>Mar</t>
  </si>
  <si>
    <t>Apr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</si>
  <si>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</si>
  <si>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</si>
  <si>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</si>
  <si>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</si>
  <si>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</si>
  <si>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</si>
  <si>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</si>
  <si>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</si>
  <si>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</si>
  <si>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</si>
  <si>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</si>
  <si>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</si>
  <si>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</si>
  <si>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</si>
  <si>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</si>
  <si>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</si>
  <si>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</si>
  <si>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</si>
  <si>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</si>
  <si>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</si>
  <si>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</si>
  <si>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</si>
  <si>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</si>
  <si>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</si>
  <si>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</si>
  <si>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</si>
  <si>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</si>
  <si>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</si>
  <si>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</si>
  <si>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</si>
  <si>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</si>
  <si>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</si>
  <si>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</si>
  <si>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</si>
  <si>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</si>
  <si>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</si>
  <si>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</si>
  <si>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</si>
  <si>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</si>
  <si>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</si>
  <si>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</si>
  <si>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</si>
  <si>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</si>
  <si>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</si>
  <si>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</si>
  <si>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</si>
  <si>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</si>
  <si>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</si>
  <si>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</si>
  <si>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</si>
  <si>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</si>
  <si>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</si>
  <si>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</si>
  <si>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</si>
  <si>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</si>
  <si>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</si>
  <si>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</si>
  <si>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</si>
  <si>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</si>
  <si>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</si>
  <si>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</si>
  <si>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</si>
  <si>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</si>
  <si>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</si>
  <si>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</si>
  <si>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</si>
  <si>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</si>
  <si>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</si>
  <si>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</si>
  <si>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</si>
  <si>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</si>
  <si>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</si>
  <si>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</si>
  <si>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</si>
  <si>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</si>
  <si>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</si>
  <si>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</si>
  <si>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</si>
  <si>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</si>
  <si>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</si>
  <si>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</si>
  <si>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</si>
  <si>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</si>
  <si>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</si>
  <si>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</si>
  <si>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</si>
  <si>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</si>
  <si>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</si>
  <si>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</si>
  <si>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</si>
  <si>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</si>
  <si>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</si>
  <si>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</si>
  <si>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</si>
  <si>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</si>
  <si>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</si>
  <si>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</si>
  <si>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</si>
  <si>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</si>
  <si>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</si>
  <si>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Sum of Final Sales2</t>
  </si>
  <si>
    <t>Excel Sales Analysis Summary</t>
  </si>
  <si>
    <t>Total Sales</t>
  </si>
  <si>
    <t>Average Sales</t>
  </si>
  <si>
    <t>Highest Sale</t>
  </si>
  <si>
    <t>Lowest Sale</t>
  </si>
  <si>
    <t>Total Orders</t>
  </si>
  <si>
    <t>South Region Sales</t>
  </si>
  <si>
    <t>Electronics Sales</t>
  </si>
  <si>
    <t>North region order</t>
  </si>
  <si>
    <t>west  region orders greater than 30000/-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</si>
</sst>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_ [$₹-4009]\ * #,##0.00_ ;_ [$₹-4009]\ * \-#,##0.00_ ;_ [$₹-4009]\ * &quot;-&quot;??_ ;_ @_ 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2"/>
    </xf>
    <xf numFmtId="0" fontId="4" fillId="0" borderId="0" xfId="0" applyFont="1"/>
    <xf numFmtId="0" fontId="2" fillId="0" borderId="0" xfId="0" applyFont="1"/>
    <xf numFmtId="4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₹&quot;\ #,##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-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GIT2.xlsx]Region_by_sales!PivotTable1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by sales</a:t>
            </a:r>
            <a:endParaRPr lang="en-US"/>
          </a:p>
        </c:rich>
      </c:tx>
      <c:layout>
        <c:manualLayout>
          <c:xMode val="edge"/>
          <c:yMode val="edge"/>
          <c:x val="0.45361111111111119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Region_by_sales!$B$3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Region_by_sales!$A$4:$A$8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Region_by_sales!$B$4:$B$8</c:f>
              <c:numCache>
                <c:formatCode>"₹"\ #,##0</c:formatCode>
                <c:ptCount val="4"/>
                <c:pt idx="0">
                  <c:v>340681.5</c:v>
                </c:pt>
                <c:pt idx="1">
                  <c:v>361559</c:v>
                </c:pt>
                <c:pt idx="2">
                  <c:v>1030378</c:v>
                </c:pt>
                <c:pt idx="3">
                  <c:v>979681.5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0-440E-B074-F350CDA3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76271"/>
        <c:axId val="461168335"/>
      </c:barChart>
      <c:catAx>
        <c:axId val="4550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168335"/>
        <c:crosses val="autoZero"/>
        <c:auto val="1"/>
        <c:lblAlgn val="ctr"/>
        <c:lblOffset val="100"/>
        <c:noMultiLvlLbl val="0"/>
      </c:catAx>
      <c:valAx>
        <c:axId val="4611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GIT2.xlsx]TOP5!PivotTable6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'TOP5'!$A$4:$A$9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'TOP5'!$B$4:$B$9</c:f>
              <c:numCache>
                <c:formatCode>"₹"\ #,##0</c:formatCode>
                <c:ptCount val="5"/>
                <c:pt idx="0">
                  <c:v>207990</c:v>
                </c:pt>
                <c:pt idx="1">
                  <c:v>106744.5</c:v>
                </c:pt>
                <c:pt idx="2">
                  <c:v>1471825</c:v>
                </c:pt>
                <c:pt idx="3">
                  <c:v>400585</c:v>
                </c:pt>
                <c:pt idx="4">
                  <c:v>431490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2-4D88-86D4-F80C99E9C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1878671"/>
        <c:axId val="370602127"/>
      </c:barChart>
      <c:catAx>
        <c:axId val="9518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02127"/>
        <c:crosses val="autoZero"/>
        <c:auto val="1"/>
        <c:lblAlgn val="ctr"/>
        <c:lblOffset val="100"/>
        <c:noMultiLvlLbl val="0"/>
      </c:catAx>
      <c:valAx>
        <c:axId val="3706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GIT2.xlsx]monthy_sales!PivotTable7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7846550612508062"/>
          <c:y val="4.5347734674526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0984277352177"/>
          <c:y val="0.33082913065186226"/>
          <c:w val="0.67123039745757118"/>
          <c:h val="0.4191546082917646"/>
        </c:manualLayout>
      </c:layout>
      <c:lineChart>
        <c:grouping val="stacked"/>
        <c:varyColors val="0"/>
        <c:ser>
          <c:idx val="0"/>
          <c:order val="0"/>
          <c:tx>
            <c:strRef>
              <c:f>monthy_sales!$B$3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monthy_sales!$A$4:$A$208</c:f>
              <c:multiLvlStrCache>
                <c:ptCount val="100"/>
                <c:lvl>
                  <c:pt idx="0">
                    <c:v>01-01-2026</c:v>
                  </c:pt>
                  <c:pt idx="1">
                    <c:v>02-01-2026</c:v>
                  </c:pt>
                  <c:pt idx="2">
                    <c:v>03-01-2026</c:v>
                  </c:pt>
                  <c:pt idx="3">
                    <c:v>04-01-2026</c:v>
                  </c:pt>
                  <c:pt idx="4">
                    <c:v>05-01-2026</c:v>
                  </c:pt>
                  <c:pt idx="5">
                    <c:v>06-01-2026</c:v>
                  </c:pt>
                  <c:pt idx="6">
                    <c:v>07-01-2026</c:v>
                  </c:pt>
                  <c:pt idx="7">
                    <c:v>08-01-2026</c:v>
                  </c:pt>
                  <c:pt idx="8">
                    <c:v>09-01-2026</c:v>
                  </c:pt>
                  <c:pt idx="9">
                    <c:v>10-01-2026</c:v>
                  </c:pt>
                  <c:pt idx="10">
                    <c:v>11-01-2026</c:v>
                  </c:pt>
                  <c:pt idx="11">
                    <c:v>12-01-2026</c:v>
                  </c:pt>
                  <c:pt idx="12">
                    <c:v>13-01-2026</c:v>
                  </c:pt>
                  <c:pt idx="13">
                    <c:v>14-01-2026</c:v>
                  </c:pt>
                  <c:pt idx="14">
                    <c:v>15-01-2026</c:v>
                  </c:pt>
                  <c:pt idx="15">
                    <c:v>16-01-2026</c:v>
                  </c:pt>
                  <c:pt idx="16">
                    <c:v>17-01-2026</c:v>
                  </c:pt>
                  <c:pt idx="17">
                    <c:v>18-01-2026</c:v>
                  </c:pt>
                  <c:pt idx="18">
                    <c:v>19-01-2026</c:v>
                  </c:pt>
                  <c:pt idx="19">
                    <c:v>20-01-2026</c:v>
                  </c:pt>
                  <c:pt idx="20">
                    <c:v>21-01-2026</c:v>
                  </c:pt>
                  <c:pt idx="21">
                    <c:v>22-01-2026</c:v>
                  </c:pt>
                  <c:pt idx="22">
                    <c:v>23-01-2026</c:v>
                  </c:pt>
                  <c:pt idx="23">
                    <c:v>24-01-2026</c:v>
                  </c:pt>
                  <c:pt idx="24">
                    <c:v>25-01-2026</c:v>
                  </c:pt>
                  <c:pt idx="25">
                    <c:v>26-01-2026</c:v>
                  </c:pt>
                  <c:pt idx="26">
                    <c:v>27-01-2026</c:v>
                  </c:pt>
                  <c:pt idx="27">
                    <c:v>28-01-2026</c:v>
                  </c:pt>
                  <c:pt idx="28">
                    <c:v>29-01-2026</c:v>
                  </c:pt>
                  <c:pt idx="29">
                    <c:v>30-01-2026</c:v>
                  </c:pt>
                  <c:pt idx="30">
                    <c:v>31-01-2026</c:v>
                  </c:pt>
                  <c:pt idx="31">
                    <c:v>01-02-2026</c:v>
                  </c:pt>
                  <c:pt idx="32">
                    <c:v>02-02-2026</c:v>
                  </c:pt>
                  <c:pt idx="33">
                    <c:v>03-02-2026</c:v>
                  </c:pt>
                  <c:pt idx="34">
                    <c:v>04-02-2026</c:v>
                  </c:pt>
                  <c:pt idx="35">
                    <c:v>05-02-2026</c:v>
                  </c:pt>
                  <c:pt idx="36">
                    <c:v>06-02-2026</c:v>
                  </c:pt>
                  <c:pt idx="37">
                    <c:v>07-02-2026</c:v>
                  </c:pt>
                  <c:pt idx="38">
                    <c:v>08-02-2026</c:v>
                  </c:pt>
                  <c:pt idx="39">
                    <c:v>09-02-2026</c:v>
                  </c:pt>
                  <c:pt idx="40">
                    <c:v>10-02-2026</c:v>
                  </c:pt>
                  <c:pt idx="41">
                    <c:v>11-02-2026</c:v>
                  </c:pt>
                  <c:pt idx="42">
                    <c:v>12-02-2026</c:v>
                  </c:pt>
                  <c:pt idx="43">
                    <c:v>13-02-2026</c:v>
                  </c:pt>
                  <c:pt idx="44">
                    <c:v>14-02-2026</c:v>
                  </c:pt>
                  <c:pt idx="45">
                    <c:v>15-02-2026</c:v>
                  </c:pt>
                  <c:pt idx="46">
                    <c:v>16-02-2026</c:v>
                  </c:pt>
                  <c:pt idx="47">
                    <c:v>17-02-2026</c:v>
                  </c:pt>
                  <c:pt idx="48">
                    <c:v>18-02-2026</c:v>
                  </c:pt>
                  <c:pt idx="49">
                    <c:v>19-02-2026</c:v>
                  </c:pt>
                  <c:pt idx="50">
                    <c:v>20-02-2026</c:v>
                  </c:pt>
                  <c:pt idx="51">
                    <c:v>21-02-2026</c:v>
                  </c:pt>
                  <c:pt idx="52">
                    <c:v>22-02-2026</c:v>
                  </c:pt>
                  <c:pt idx="53">
                    <c:v>23-02-2026</c:v>
                  </c:pt>
                  <c:pt idx="54">
                    <c:v>24-02-2026</c:v>
                  </c:pt>
                  <c:pt idx="55">
                    <c:v>25-02-2026</c:v>
                  </c:pt>
                  <c:pt idx="56">
                    <c:v>26-02-2026</c:v>
                  </c:pt>
                  <c:pt idx="57">
                    <c:v>27-02-2026</c:v>
                  </c:pt>
                  <c:pt idx="58">
                    <c:v>28-02-2026</c:v>
                  </c:pt>
                  <c:pt idx="59">
                    <c:v>01-03-2026</c:v>
                  </c:pt>
                  <c:pt idx="60">
                    <c:v>02-03-2026</c:v>
                  </c:pt>
                  <c:pt idx="61">
                    <c:v>03-03-2026</c:v>
                  </c:pt>
                  <c:pt idx="62">
                    <c:v>04-03-2026</c:v>
                  </c:pt>
                  <c:pt idx="63">
                    <c:v>05-03-2026</c:v>
                  </c:pt>
                  <c:pt idx="64">
                    <c:v>06-03-2026</c:v>
                  </c:pt>
                  <c:pt idx="65">
                    <c:v>07-03-2026</c:v>
                  </c:pt>
                  <c:pt idx="66">
                    <c:v>08-03-2026</c:v>
                  </c:pt>
                  <c:pt idx="67">
                    <c:v>09-03-2026</c:v>
                  </c:pt>
                  <c:pt idx="68">
                    <c:v>10-03-2026</c:v>
                  </c:pt>
                  <c:pt idx="69">
                    <c:v>11-03-2026</c:v>
                  </c:pt>
                  <c:pt idx="70">
                    <c:v>12-03-2026</c:v>
                  </c:pt>
                  <c:pt idx="71">
                    <c:v>13-03-2026</c:v>
                  </c:pt>
                  <c:pt idx="72">
                    <c:v>14-03-2026</c:v>
                  </c:pt>
                  <c:pt idx="73">
                    <c:v>15-03-2026</c:v>
                  </c:pt>
                  <c:pt idx="74">
                    <c:v>16-03-2026</c:v>
                  </c:pt>
                  <c:pt idx="75">
                    <c:v>17-03-2026</c:v>
                  </c:pt>
                  <c:pt idx="76">
                    <c:v>18-03-2026</c:v>
                  </c:pt>
                  <c:pt idx="77">
                    <c:v>19-03-2026</c:v>
                  </c:pt>
                  <c:pt idx="78">
                    <c:v>20-03-2026</c:v>
                  </c:pt>
                  <c:pt idx="79">
                    <c:v>21-03-2026</c:v>
                  </c:pt>
                  <c:pt idx="80">
                    <c:v>22-03-2026</c:v>
                  </c:pt>
                  <c:pt idx="81">
                    <c:v>23-03-2026</c:v>
                  </c:pt>
                  <c:pt idx="82">
                    <c:v>24-03-2026</c:v>
                  </c:pt>
                  <c:pt idx="83">
                    <c:v>25-03-2026</c:v>
                  </c:pt>
                  <c:pt idx="84">
                    <c:v>26-03-2026</c:v>
                  </c:pt>
                  <c:pt idx="85">
                    <c:v>27-03-2026</c:v>
                  </c:pt>
                  <c:pt idx="86">
                    <c:v>28-03-2026</c:v>
                  </c:pt>
                  <c:pt idx="87">
                    <c:v>29-03-2026</c:v>
                  </c:pt>
                  <c:pt idx="88">
                    <c:v>30-03-2026</c:v>
                  </c:pt>
                  <c:pt idx="89">
                    <c:v>31-03-2026</c:v>
                  </c:pt>
                  <c:pt idx="90">
                    <c:v>01-04-2026</c:v>
                  </c:pt>
                  <c:pt idx="91">
                    <c:v>02-04-2026</c:v>
                  </c:pt>
                  <c:pt idx="92">
                    <c:v>03-04-2026</c:v>
                  </c:pt>
                  <c:pt idx="93">
                    <c:v>04-04-2026</c:v>
                  </c:pt>
                  <c:pt idx="94">
                    <c:v>05-04-2026</c:v>
                  </c:pt>
                  <c:pt idx="95">
                    <c:v>06-04-2026</c:v>
                  </c:pt>
                  <c:pt idx="96">
                    <c:v>07-04-2026</c:v>
                  </c:pt>
                  <c:pt idx="97">
                    <c:v>08-04-2026</c:v>
                  </c:pt>
                  <c:pt idx="98">
                    <c:v>09-04-2026</c:v>
                  </c:pt>
                  <c:pt idx="99">
                    <c:v>10-04-2026</c:v>
                  </c:pt>
                </c:lvl>
                <c:lvl>
                  <c:pt idx="0">
                    <c:v>01-Jan</c:v>
                  </c:pt>
                  <c:pt idx="1">
                    <c:v>02-Jan</c:v>
                  </c:pt>
                  <c:pt idx="2">
                    <c:v>03-Jan</c:v>
                  </c:pt>
                  <c:pt idx="3">
                    <c:v>04-Jan</c:v>
                  </c:pt>
                  <c:pt idx="4">
                    <c:v>05-Jan</c:v>
                  </c:pt>
                  <c:pt idx="5">
                    <c:v>06-Jan</c:v>
                  </c:pt>
                  <c:pt idx="6">
                    <c:v>07-Jan</c:v>
                  </c:pt>
                  <c:pt idx="7">
                    <c:v>08-Jan</c:v>
                  </c:pt>
                  <c:pt idx="8">
                    <c:v>09-Jan</c:v>
                  </c:pt>
                  <c:pt idx="9">
                    <c:v>10-Jan</c:v>
                  </c:pt>
                  <c:pt idx="10">
                    <c:v>11-Jan</c:v>
                  </c:pt>
                  <c:pt idx="11">
                    <c:v>12-Jan</c:v>
                  </c:pt>
                  <c:pt idx="12">
                    <c:v>13-Jan</c:v>
                  </c:pt>
                  <c:pt idx="13">
                    <c:v>14-Jan</c:v>
                  </c:pt>
                  <c:pt idx="14">
                    <c:v>15-Jan</c:v>
                  </c:pt>
                  <c:pt idx="15">
                    <c:v>16-Jan</c:v>
                  </c:pt>
                  <c:pt idx="16">
                    <c:v>17-Jan</c:v>
                  </c:pt>
                  <c:pt idx="17">
                    <c:v>18-Jan</c:v>
                  </c:pt>
                  <c:pt idx="18">
                    <c:v>19-Jan</c:v>
                  </c:pt>
                  <c:pt idx="19">
                    <c:v>20-Jan</c:v>
                  </c:pt>
                  <c:pt idx="20">
                    <c:v>21-Jan</c:v>
                  </c:pt>
                  <c:pt idx="21">
                    <c:v>22-Jan</c:v>
                  </c:pt>
                  <c:pt idx="22">
                    <c:v>23-Jan</c:v>
                  </c:pt>
                  <c:pt idx="23">
                    <c:v>24-Jan</c:v>
                  </c:pt>
                  <c:pt idx="24">
                    <c:v>25-Jan</c:v>
                  </c:pt>
                  <c:pt idx="25">
                    <c:v>26-Jan</c:v>
                  </c:pt>
                  <c:pt idx="26">
                    <c:v>27-Jan</c:v>
                  </c:pt>
                  <c:pt idx="27">
                    <c:v>28-Jan</c:v>
                  </c:pt>
                  <c:pt idx="28">
                    <c:v>29-Jan</c:v>
                  </c:pt>
                  <c:pt idx="29">
                    <c:v>30-Jan</c:v>
                  </c:pt>
                  <c:pt idx="30">
                    <c:v>31-Jan</c:v>
                  </c:pt>
                  <c:pt idx="31">
                    <c:v>01-Feb</c:v>
                  </c:pt>
                  <c:pt idx="32">
                    <c:v>02-Feb</c:v>
                  </c:pt>
                  <c:pt idx="33">
                    <c:v>03-Feb</c:v>
                  </c:pt>
                  <c:pt idx="34">
                    <c:v>04-Feb</c:v>
                  </c:pt>
                  <c:pt idx="35">
                    <c:v>05-Feb</c:v>
                  </c:pt>
                  <c:pt idx="36">
                    <c:v>06-Feb</c:v>
                  </c:pt>
                  <c:pt idx="37">
                    <c:v>07-Feb</c:v>
                  </c:pt>
                  <c:pt idx="38">
                    <c:v>08-Feb</c:v>
                  </c:pt>
                  <c:pt idx="39">
                    <c:v>09-Feb</c:v>
                  </c:pt>
                  <c:pt idx="40">
                    <c:v>10-Feb</c:v>
                  </c:pt>
                  <c:pt idx="41">
                    <c:v>11-Feb</c:v>
                  </c:pt>
                  <c:pt idx="42">
                    <c:v>12-Feb</c:v>
                  </c:pt>
                  <c:pt idx="43">
                    <c:v>13-Feb</c:v>
                  </c:pt>
                  <c:pt idx="44">
                    <c:v>14-Feb</c:v>
                  </c:pt>
                  <c:pt idx="45">
                    <c:v>15-Feb</c:v>
                  </c:pt>
                  <c:pt idx="46">
                    <c:v>16-Feb</c:v>
                  </c:pt>
                  <c:pt idx="47">
                    <c:v>17-Feb</c:v>
                  </c:pt>
                  <c:pt idx="48">
                    <c:v>18-Feb</c:v>
                  </c:pt>
                  <c:pt idx="49">
                    <c:v>19-Feb</c:v>
                  </c:pt>
                  <c:pt idx="50">
                    <c:v>20-Feb</c:v>
                  </c:pt>
                  <c:pt idx="51">
                    <c:v>21-Feb</c:v>
                  </c:pt>
                  <c:pt idx="52">
                    <c:v>22-Feb</c:v>
                  </c:pt>
                  <c:pt idx="53">
                    <c:v>23-Feb</c:v>
                  </c:pt>
                  <c:pt idx="54">
                    <c:v>24-Feb</c:v>
                  </c:pt>
                  <c:pt idx="55">
                    <c:v>25-Feb</c:v>
                  </c:pt>
                  <c:pt idx="56">
                    <c:v>26-Feb</c:v>
                  </c:pt>
                  <c:pt idx="57">
                    <c:v>27-Feb</c:v>
                  </c:pt>
                  <c:pt idx="58">
                    <c:v>28-Feb</c:v>
                  </c:pt>
                  <c:pt idx="59">
                    <c:v>01-Mar</c:v>
                  </c:pt>
                  <c:pt idx="60">
                    <c:v>02-Mar</c:v>
                  </c:pt>
                  <c:pt idx="61">
                    <c:v>03-Mar</c:v>
                  </c:pt>
                  <c:pt idx="62">
                    <c:v>04-Mar</c:v>
                  </c:pt>
                  <c:pt idx="63">
                    <c:v>05-Mar</c:v>
                  </c:pt>
                  <c:pt idx="64">
                    <c:v>06-Mar</c:v>
                  </c:pt>
                  <c:pt idx="65">
                    <c:v>07-Mar</c:v>
                  </c:pt>
                  <c:pt idx="66">
                    <c:v>08-Mar</c:v>
                  </c:pt>
                  <c:pt idx="67">
                    <c:v>09-Mar</c:v>
                  </c:pt>
                  <c:pt idx="68">
                    <c:v>10-Mar</c:v>
                  </c:pt>
                  <c:pt idx="69">
                    <c:v>11-Mar</c:v>
                  </c:pt>
                  <c:pt idx="70">
                    <c:v>12-Mar</c:v>
                  </c:pt>
                  <c:pt idx="71">
                    <c:v>13-Mar</c:v>
                  </c:pt>
                  <c:pt idx="72">
                    <c:v>14-Mar</c:v>
                  </c:pt>
                  <c:pt idx="73">
                    <c:v>15-Mar</c:v>
                  </c:pt>
                  <c:pt idx="74">
                    <c:v>16-Mar</c:v>
                  </c:pt>
                  <c:pt idx="75">
                    <c:v>17-Mar</c:v>
                  </c:pt>
                  <c:pt idx="76">
                    <c:v>18-Mar</c:v>
                  </c:pt>
                  <c:pt idx="77">
                    <c:v>19-Mar</c:v>
                  </c:pt>
                  <c:pt idx="78">
                    <c:v>20-Mar</c:v>
                  </c:pt>
                  <c:pt idx="79">
                    <c:v>21-Mar</c:v>
                  </c:pt>
                  <c:pt idx="80">
                    <c:v>22-Mar</c:v>
                  </c:pt>
                  <c:pt idx="81">
                    <c:v>23-Mar</c:v>
                  </c:pt>
                  <c:pt idx="82">
                    <c:v>24-Mar</c:v>
                  </c:pt>
                  <c:pt idx="83">
                    <c:v>25-Mar</c:v>
                  </c:pt>
                  <c:pt idx="84">
                    <c:v>26-Mar</c:v>
                  </c:pt>
                  <c:pt idx="85">
                    <c:v>27-Mar</c:v>
                  </c:pt>
                  <c:pt idx="86">
                    <c:v>28-Mar</c:v>
                  </c:pt>
                  <c:pt idx="87">
                    <c:v>29-Mar</c:v>
                  </c:pt>
                  <c:pt idx="88">
                    <c:v>30-Mar</c:v>
                  </c:pt>
                  <c:pt idx="89">
                    <c:v>31-Mar</c:v>
                  </c:pt>
                  <c:pt idx="90">
                    <c:v>01-Apr</c:v>
                  </c:pt>
                  <c:pt idx="91">
                    <c:v>02-Apr</c:v>
                  </c:pt>
                  <c:pt idx="92">
                    <c:v>03-Apr</c:v>
                  </c:pt>
                  <c:pt idx="93">
                    <c:v>04-Apr</c:v>
                  </c:pt>
                  <c:pt idx="94">
                    <c:v>05-Apr</c:v>
                  </c:pt>
                  <c:pt idx="95">
                    <c:v>06-Apr</c:v>
                  </c:pt>
                  <c:pt idx="96">
                    <c:v>07-Apr</c:v>
                  </c:pt>
                  <c:pt idx="97">
                    <c:v>08-Apr</c:v>
                  </c:pt>
                  <c:pt idx="98">
                    <c:v>09-Apr</c:v>
                  </c:pt>
                  <c:pt idx="99">
                    <c:v>10-Apr</c:v>
                  </c:pt>
                </c:lvl>
                <c:lvl>
                  <c:pt idx="0">
                    <c:v>Jan</c:v>
                  </c:pt>
                  <c:pt idx="31">
                    <c:v>Feb</c:v>
                  </c:pt>
                  <c:pt idx="59">
                    <c:v>Mar</c:v>
                  </c:pt>
                  <c:pt idx="90">
                    <c:v>Apr</c:v>
                  </c:pt>
                </c:lvl>
              </c:multiLvlStrCache>
            </c:multiLvlStrRef>
          </c:cat>
          <c:val>
            <c:numRef>
              <c:f>monthy_sales!$B$4:$B$208</c:f>
              <c:numCache>
                <c:formatCode>"₹"\ #,##0</c:formatCode>
                <c:ptCount val="100"/>
                <c:pt idx="0">
                  <c:v>95000</c:v>
                </c:pt>
                <c:pt idx="1">
                  <c:v>3600</c:v>
                </c:pt>
                <c:pt idx="2">
                  <c:v>4275</c:v>
                </c:pt>
                <c:pt idx="3">
                  <c:v>21600</c:v>
                </c:pt>
                <c:pt idx="4">
                  <c:v>14250</c:v>
                </c:pt>
                <c:pt idx="5">
                  <c:v>8500</c:v>
                </c:pt>
                <c:pt idx="6">
                  <c:v>49500</c:v>
                </c:pt>
                <c:pt idx="7">
                  <c:v>5700</c:v>
                </c:pt>
                <c:pt idx="8">
                  <c:v>6480</c:v>
                </c:pt>
                <c:pt idx="9">
                  <c:v>31350</c:v>
                </c:pt>
                <c:pt idx="10">
                  <c:v>25200</c:v>
                </c:pt>
                <c:pt idx="11">
                  <c:v>10450</c:v>
                </c:pt>
                <c:pt idx="12">
                  <c:v>132600</c:v>
                </c:pt>
                <c:pt idx="13">
                  <c:v>7650</c:v>
                </c:pt>
                <c:pt idx="14">
                  <c:v>6080</c:v>
                </c:pt>
                <c:pt idx="15">
                  <c:v>22500</c:v>
                </c:pt>
                <c:pt idx="16">
                  <c:v>44175</c:v>
                </c:pt>
                <c:pt idx="17">
                  <c:v>16660</c:v>
                </c:pt>
                <c:pt idx="18">
                  <c:v>86400</c:v>
                </c:pt>
                <c:pt idx="19">
                  <c:v>5130</c:v>
                </c:pt>
                <c:pt idx="20">
                  <c:v>6300</c:v>
                </c:pt>
                <c:pt idx="21">
                  <c:v>12350</c:v>
                </c:pt>
                <c:pt idx="22">
                  <c:v>28800</c:v>
                </c:pt>
                <c:pt idx="23">
                  <c:v>9880</c:v>
                </c:pt>
                <c:pt idx="24">
                  <c:v>51000</c:v>
                </c:pt>
                <c:pt idx="25">
                  <c:v>5670</c:v>
                </c:pt>
                <c:pt idx="26">
                  <c:v>8977.5</c:v>
                </c:pt>
                <c:pt idx="27">
                  <c:v>31050</c:v>
                </c:pt>
                <c:pt idx="28">
                  <c:v>13775</c:v>
                </c:pt>
                <c:pt idx="29">
                  <c:v>12240</c:v>
                </c:pt>
                <c:pt idx="30">
                  <c:v>91800</c:v>
                </c:pt>
                <c:pt idx="31">
                  <c:v>3895</c:v>
                </c:pt>
                <c:pt idx="32">
                  <c:v>4185</c:v>
                </c:pt>
                <c:pt idx="33">
                  <c:v>22420</c:v>
                </c:pt>
                <c:pt idx="34">
                  <c:v>40500</c:v>
                </c:pt>
                <c:pt idx="35">
                  <c:v>17480</c:v>
                </c:pt>
                <c:pt idx="36">
                  <c:v>90100</c:v>
                </c:pt>
                <c:pt idx="37">
                  <c:v>4914</c:v>
                </c:pt>
                <c:pt idx="38">
                  <c:v>6887.5</c:v>
                </c:pt>
                <c:pt idx="39">
                  <c:v>10980</c:v>
                </c:pt>
                <c:pt idx="40">
                  <c:v>28880</c:v>
                </c:pt>
                <c:pt idx="41">
                  <c:v>11475</c:v>
                </c:pt>
                <c:pt idx="42">
                  <c:v>132300</c:v>
                </c:pt>
                <c:pt idx="43">
                  <c:v>6536</c:v>
                </c:pt>
                <c:pt idx="44">
                  <c:v>4680</c:v>
                </c:pt>
                <c:pt idx="45">
                  <c:v>24320</c:v>
                </c:pt>
                <c:pt idx="46">
                  <c:v>13320</c:v>
                </c:pt>
                <c:pt idx="47">
                  <c:v>14250</c:v>
                </c:pt>
                <c:pt idx="48">
                  <c:v>91800</c:v>
                </c:pt>
                <c:pt idx="49">
                  <c:v>6480</c:v>
                </c:pt>
                <c:pt idx="50">
                  <c:v>8550</c:v>
                </c:pt>
                <c:pt idx="51">
                  <c:v>31320</c:v>
                </c:pt>
                <c:pt idx="52">
                  <c:v>30020</c:v>
                </c:pt>
                <c:pt idx="53">
                  <c:v>9860</c:v>
                </c:pt>
                <c:pt idx="54">
                  <c:v>51300</c:v>
                </c:pt>
                <c:pt idx="55">
                  <c:v>5852</c:v>
                </c:pt>
                <c:pt idx="56">
                  <c:v>5625</c:v>
                </c:pt>
                <c:pt idx="57">
                  <c:v>22610</c:v>
                </c:pt>
                <c:pt idx="58">
                  <c:v>38340</c:v>
                </c:pt>
                <c:pt idx="59">
                  <c:v>13062.5</c:v>
                </c:pt>
                <c:pt idx="60">
                  <c:v>85000</c:v>
                </c:pt>
                <c:pt idx="61">
                  <c:v>4374</c:v>
                </c:pt>
                <c:pt idx="62">
                  <c:v>5890</c:v>
                </c:pt>
                <c:pt idx="63">
                  <c:v>21780</c:v>
                </c:pt>
                <c:pt idx="64">
                  <c:v>14250</c:v>
                </c:pt>
                <c:pt idx="65">
                  <c:v>17340</c:v>
                </c:pt>
                <c:pt idx="66">
                  <c:v>94500</c:v>
                </c:pt>
                <c:pt idx="67">
                  <c:v>3752.5</c:v>
                </c:pt>
                <c:pt idx="68">
                  <c:v>8505</c:v>
                </c:pt>
                <c:pt idx="69">
                  <c:v>33345</c:v>
                </c:pt>
                <c:pt idx="70">
                  <c:v>27720</c:v>
                </c:pt>
                <c:pt idx="71">
                  <c:v>13965</c:v>
                </c:pt>
                <c:pt idx="72">
                  <c:v>50150</c:v>
                </c:pt>
                <c:pt idx="73">
                  <c:v>6804</c:v>
                </c:pt>
                <c:pt idx="74">
                  <c:v>4702.5</c:v>
                </c:pt>
                <c:pt idx="75">
                  <c:v>22320</c:v>
                </c:pt>
                <c:pt idx="76">
                  <c:v>41895</c:v>
                </c:pt>
                <c:pt idx="77">
                  <c:v>12112.5</c:v>
                </c:pt>
                <c:pt idx="78">
                  <c:v>90900</c:v>
                </c:pt>
                <c:pt idx="79">
                  <c:v>5776</c:v>
                </c:pt>
                <c:pt idx="80">
                  <c:v>5220</c:v>
                </c:pt>
                <c:pt idx="81">
                  <c:v>12540</c:v>
                </c:pt>
                <c:pt idx="82">
                  <c:v>27180</c:v>
                </c:pt>
                <c:pt idx="83">
                  <c:v>17622.5</c:v>
                </c:pt>
                <c:pt idx="84">
                  <c:v>131325</c:v>
                </c:pt>
                <c:pt idx="85">
                  <c:v>4482</c:v>
                </c:pt>
                <c:pt idx="86">
                  <c:v>6555</c:v>
                </c:pt>
                <c:pt idx="87">
                  <c:v>22680</c:v>
                </c:pt>
                <c:pt idx="88">
                  <c:v>15105</c:v>
                </c:pt>
                <c:pt idx="89">
                  <c:v>10030</c:v>
                </c:pt>
                <c:pt idx="90">
                  <c:v>96300</c:v>
                </c:pt>
                <c:pt idx="91">
                  <c:v>7695</c:v>
                </c:pt>
                <c:pt idx="92">
                  <c:v>8208</c:v>
                </c:pt>
                <c:pt idx="93">
                  <c:v>34200</c:v>
                </c:pt>
                <c:pt idx="94">
                  <c:v>28080</c:v>
                </c:pt>
                <c:pt idx="95">
                  <c:v>13062.5</c:v>
                </c:pt>
                <c:pt idx="96">
                  <c:v>51850</c:v>
                </c:pt>
                <c:pt idx="97">
                  <c:v>5355</c:v>
                </c:pt>
                <c:pt idx="98">
                  <c:v>5624</c:v>
                </c:pt>
                <c:pt idx="99">
                  <c:v>23220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C-4EE0-A98C-780434B08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75231"/>
        <c:axId val="461213935"/>
      </c:lineChart>
      <c:catAx>
        <c:axId val="9141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13935"/>
        <c:crosses val="autoZero"/>
        <c:auto val="1"/>
        <c:lblAlgn val="ctr"/>
        <c:lblOffset val="100"/>
        <c:noMultiLvlLbl val="0"/>
      </c:catAx>
      <c:valAx>
        <c:axId val="4612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GIT2.xlsx]Region_by_sales!PivotTable1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US"/>
          </a:p>
        </c:rich>
      </c:tx>
      <c:layout>
        <c:manualLayout>
          <c:xMode val="edge"/>
          <c:yMode val="edge"/>
          <c:x val="0.4536110558382368"/>
          <c:y val="1.13586345185112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Region_by_sales!$B$3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Region_by_sales!$A$4:$A$8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Region_by_sales!$B$4:$B$8</c:f>
              <c:numCache>
                <c:formatCode>"₹"\ #,##0</c:formatCode>
                <c:ptCount val="4"/>
                <c:pt idx="0">
                  <c:v>340681.5</c:v>
                </c:pt>
                <c:pt idx="1">
                  <c:v>361559</c:v>
                </c:pt>
                <c:pt idx="2">
                  <c:v>1030378</c:v>
                </c:pt>
                <c:pt idx="3">
                  <c:v>979681.5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D-4347-A369-9189FBAC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76271"/>
        <c:axId val="461168335"/>
      </c:barChart>
      <c:catAx>
        <c:axId val="4550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168335"/>
        <c:crosses val="autoZero"/>
        <c:auto val="1"/>
        <c:lblAlgn val="ctr"/>
        <c:lblOffset val="100"/>
        <c:noMultiLvlLbl val="0"/>
      </c:catAx>
      <c:valAx>
        <c:axId val="4611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GIT2.xlsx]TOP5!PivotTable6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'TOP5'!$A$4:$A$9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'TOP5'!$B$4:$B$9</c:f>
              <c:numCache>
                <c:formatCode>"₹"\ #,##0</c:formatCode>
                <c:ptCount val="5"/>
                <c:pt idx="0">
                  <c:v>207990</c:v>
                </c:pt>
                <c:pt idx="1">
                  <c:v>106744.5</c:v>
                </c:pt>
                <c:pt idx="2">
                  <c:v>1471825</c:v>
                </c:pt>
                <c:pt idx="3">
                  <c:v>400585</c:v>
                </c:pt>
                <c:pt idx="4">
                  <c:v>431490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5-4168-8D89-0812125B3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1878671"/>
        <c:axId val="370602127"/>
      </c:barChart>
      <c:catAx>
        <c:axId val="9518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02127"/>
        <c:crosses val="autoZero"/>
        <c:auto val="1"/>
        <c:lblAlgn val="ctr"/>
        <c:lblOffset val="100"/>
        <c:noMultiLvlLbl val="0"/>
      </c:catAx>
      <c:valAx>
        <c:axId val="3706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GIT2.xlsx]monthy_sales!PivotTable7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27852998065764029"/>
          <c:y val="0.10342947969200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0984277352177"/>
          <c:y val="0.33082913065186226"/>
          <c:w val="0.67123039745757118"/>
          <c:h val="0.4191546082917646"/>
        </c:manualLayout>
      </c:layout>
      <c:lineChart>
        <c:grouping val="stacked"/>
        <c:varyColors val="0"/>
        <c:ser>
          <c:idx val="0"/>
          <c:order val="0"/>
          <c:tx>
            <c:strRef>
              <c:f>monthy_sales!$B$3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monthy_sales!$A$4:$A$208</c:f>
              <c:multiLvlStrCache>
                <c:ptCount val="100"/>
                <c:lvl>
                  <c:pt idx="0">
                    <c:v>01-01-2026</c:v>
                  </c:pt>
                  <c:pt idx="1">
                    <c:v>02-01-2026</c:v>
                  </c:pt>
                  <c:pt idx="2">
                    <c:v>03-01-2026</c:v>
                  </c:pt>
                  <c:pt idx="3">
                    <c:v>04-01-2026</c:v>
                  </c:pt>
                  <c:pt idx="4">
                    <c:v>05-01-2026</c:v>
                  </c:pt>
                  <c:pt idx="5">
                    <c:v>06-01-2026</c:v>
                  </c:pt>
                  <c:pt idx="6">
                    <c:v>07-01-2026</c:v>
                  </c:pt>
                  <c:pt idx="7">
                    <c:v>08-01-2026</c:v>
                  </c:pt>
                  <c:pt idx="8">
                    <c:v>09-01-2026</c:v>
                  </c:pt>
                  <c:pt idx="9">
                    <c:v>10-01-2026</c:v>
                  </c:pt>
                  <c:pt idx="10">
                    <c:v>11-01-2026</c:v>
                  </c:pt>
                  <c:pt idx="11">
                    <c:v>12-01-2026</c:v>
                  </c:pt>
                  <c:pt idx="12">
                    <c:v>13-01-2026</c:v>
                  </c:pt>
                  <c:pt idx="13">
                    <c:v>14-01-2026</c:v>
                  </c:pt>
                  <c:pt idx="14">
                    <c:v>15-01-2026</c:v>
                  </c:pt>
                  <c:pt idx="15">
                    <c:v>16-01-2026</c:v>
                  </c:pt>
                  <c:pt idx="16">
                    <c:v>17-01-2026</c:v>
                  </c:pt>
                  <c:pt idx="17">
                    <c:v>18-01-2026</c:v>
                  </c:pt>
                  <c:pt idx="18">
                    <c:v>19-01-2026</c:v>
                  </c:pt>
                  <c:pt idx="19">
                    <c:v>20-01-2026</c:v>
                  </c:pt>
                  <c:pt idx="20">
                    <c:v>21-01-2026</c:v>
                  </c:pt>
                  <c:pt idx="21">
                    <c:v>22-01-2026</c:v>
                  </c:pt>
                  <c:pt idx="22">
                    <c:v>23-01-2026</c:v>
                  </c:pt>
                  <c:pt idx="23">
                    <c:v>24-01-2026</c:v>
                  </c:pt>
                  <c:pt idx="24">
                    <c:v>25-01-2026</c:v>
                  </c:pt>
                  <c:pt idx="25">
                    <c:v>26-01-2026</c:v>
                  </c:pt>
                  <c:pt idx="26">
                    <c:v>27-01-2026</c:v>
                  </c:pt>
                  <c:pt idx="27">
                    <c:v>28-01-2026</c:v>
                  </c:pt>
                  <c:pt idx="28">
                    <c:v>29-01-2026</c:v>
                  </c:pt>
                  <c:pt idx="29">
                    <c:v>30-01-2026</c:v>
                  </c:pt>
                  <c:pt idx="30">
                    <c:v>31-01-2026</c:v>
                  </c:pt>
                  <c:pt idx="31">
                    <c:v>01-02-2026</c:v>
                  </c:pt>
                  <c:pt idx="32">
                    <c:v>02-02-2026</c:v>
                  </c:pt>
                  <c:pt idx="33">
                    <c:v>03-02-2026</c:v>
                  </c:pt>
                  <c:pt idx="34">
                    <c:v>04-02-2026</c:v>
                  </c:pt>
                  <c:pt idx="35">
                    <c:v>05-02-2026</c:v>
                  </c:pt>
                  <c:pt idx="36">
                    <c:v>06-02-2026</c:v>
                  </c:pt>
                  <c:pt idx="37">
                    <c:v>07-02-2026</c:v>
                  </c:pt>
                  <c:pt idx="38">
                    <c:v>08-02-2026</c:v>
                  </c:pt>
                  <c:pt idx="39">
                    <c:v>09-02-2026</c:v>
                  </c:pt>
                  <c:pt idx="40">
                    <c:v>10-02-2026</c:v>
                  </c:pt>
                  <c:pt idx="41">
                    <c:v>11-02-2026</c:v>
                  </c:pt>
                  <c:pt idx="42">
                    <c:v>12-02-2026</c:v>
                  </c:pt>
                  <c:pt idx="43">
                    <c:v>13-02-2026</c:v>
                  </c:pt>
                  <c:pt idx="44">
                    <c:v>14-02-2026</c:v>
                  </c:pt>
                  <c:pt idx="45">
                    <c:v>15-02-2026</c:v>
                  </c:pt>
                  <c:pt idx="46">
                    <c:v>16-02-2026</c:v>
                  </c:pt>
                  <c:pt idx="47">
                    <c:v>17-02-2026</c:v>
                  </c:pt>
                  <c:pt idx="48">
                    <c:v>18-02-2026</c:v>
                  </c:pt>
                  <c:pt idx="49">
                    <c:v>19-02-2026</c:v>
                  </c:pt>
                  <c:pt idx="50">
                    <c:v>20-02-2026</c:v>
                  </c:pt>
                  <c:pt idx="51">
                    <c:v>21-02-2026</c:v>
                  </c:pt>
                  <c:pt idx="52">
                    <c:v>22-02-2026</c:v>
                  </c:pt>
                  <c:pt idx="53">
                    <c:v>23-02-2026</c:v>
                  </c:pt>
                  <c:pt idx="54">
                    <c:v>24-02-2026</c:v>
                  </c:pt>
                  <c:pt idx="55">
                    <c:v>25-02-2026</c:v>
                  </c:pt>
                  <c:pt idx="56">
                    <c:v>26-02-2026</c:v>
                  </c:pt>
                  <c:pt idx="57">
                    <c:v>27-02-2026</c:v>
                  </c:pt>
                  <c:pt idx="58">
                    <c:v>28-02-2026</c:v>
                  </c:pt>
                  <c:pt idx="59">
                    <c:v>01-03-2026</c:v>
                  </c:pt>
                  <c:pt idx="60">
                    <c:v>02-03-2026</c:v>
                  </c:pt>
                  <c:pt idx="61">
                    <c:v>03-03-2026</c:v>
                  </c:pt>
                  <c:pt idx="62">
                    <c:v>04-03-2026</c:v>
                  </c:pt>
                  <c:pt idx="63">
                    <c:v>05-03-2026</c:v>
                  </c:pt>
                  <c:pt idx="64">
                    <c:v>06-03-2026</c:v>
                  </c:pt>
                  <c:pt idx="65">
                    <c:v>07-03-2026</c:v>
                  </c:pt>
                  <c:pt idx="66">
                    <c:v>08-03-2026</c:v>
                  </c:pt>
                  <c:pt idx="67">
                    <c:v>09-03-2026</c:v>
                  </c:pt>
                  <c:pt idx="68">
                    <c:v>10-03-2026</c:v>
                  </c:pt>
                  <c:pt idx="69">
                    <c:v>11-03-2026</c:v>
                  </c:pt>
                  <c:pt idx="70">
                    <c:v>12-03-2026</c:v>
                  </c:pt>
                  <c:pt idx="71">
                    <c:v>13-03-2026</c:v>
                  </c:pt>
                  <c:pt idx="72">
                    <c:v>14-03-2026</c:v>
                  </c:pt>
                  <c:pt idx="73">
                    <c:v>15-03-2026</c:v>
                  </c:pt>
                  <c:pt idx="74">
                    <c:v>16-03-2026</c:v>
                  </c:pt>
                  <c:pt idx="75">
                    <c:v>17-03-2026</c:v>
                  </c:pt>
                  <c:pt idx="76">
                    <c:v>18-03-2026</c:v>
                  </c:pt>
                  <c:pt idx="77">
                    <c:v>19-03-2026</c:v>
                  </c:pt>
                  <c:pt idx="78">
                    <c:v>20-03-2026</c:v>
                  </c:pt>
                  <c:pt idx="79">
                    <c:v>21-03-2026</c:v>
                  </c:pt>
                  <c:pt idx="80">
                    <c:v>22-03-2026</c:v>
                  </c:pt>
                  <c:pt idx="81">
                    <c:v>23-03-2026</c:v>
                  </c:pt>
                  <c:pt idx="82">
                    <c:v>24-03-2026</c:v>
                  </c:pt>
                  <c:pt idx="83">
                    <c:v>25-03-2026</c:v>
                  </c:pt>
                  <c:pt idx="84">
                    <c:v>26-03-2026</c:v>
                  </c:pt>
                  <c:pt idx="85">
                    <c:v>27-03-2026</c:v>
                  </c:pt>
                  <c:pt idx="86">
                    <c:v>28-03-2026</c:v>
                  </c:pt>
                  <c:pt idx="87">
                    <c:v>29-03-2026</c:v>
                  </c:pt>
                  <c:pt idx="88">
                    <c:v>30-03-2026</c:v>
                  </c:pt>
                  <c:pt idx="89">
                    <c:v>31-03-2026</c:v>
                  </c:pt>
                  <c:pt idx="90">
                    <c:v>01-04-2026</c:v>
                  </c:pt>
                  <c:pt idx="91">
                    <c:v>02-04-2026</c:v>
                  </c:pt>
                  <c:pt idx="92">
                    <c:v>03-04-2026</c:v>
                  </c:pt>
                  <c:pt idx="93">
                    <c:v>04-04-2026</c:v>
                  </c:pt>
                  <c:pt idx="94">
                    <c:v>05-04-2026</c:v>
                  </c:pt>
                  <c:pt idx="95">
                    <c:v>06-04-2026</c:v>
                  </c:pt>
                  <c:pt idx="96">
                    <c:v>07-04-2026</c:v>
                  </c:pt>
                  <c:pt idx="97">
                    <c:v>08-04-2026</c:v>
                  </c:pt>
                  <c:pt idx="98">
                    <c:v>09-04-2026</c:v>
                  </c:pt>
                  <c:pt idx="99">
                    <c:v>10-04-2026</c:v>
                  </c:pt>
                </c:lvl>
                <c:lvl>
                  <c:pt idx="0">
                    <c:v>01-Jan</c:v>
                  </c:pt>
                  <c:pt idx="1">
                    <c:v>02-Jan</c:v>
                  </c:pt>
                  <c:pt idx="2">
                    <c:v>03-Jan</c:v>
                  </c:pt>
                  <c:pt idx="3">
                    <c:v>04-Jan</c:v>
                  </c:pt>
                  <c:pt idx="4">
                    <c:v>05-Jan</c:v>
                  </c:pt>
                  <c:pt idx="5">
                    <c:v>06-Jan</c:v>
                  </c:pt>
                  <c:pt idx="6">
                    <c:v>07-Jan</c:v>
                  </c:pt>
                  <c:pt idx="7">
                    <c:v>08-Jan</c:v>
                  </c:pt>
                  <c:pt idx="8">
                    <c:v>09-Jan</c:v>
                  </c:pt>
                  <c:pt idx="9">
                    <c:v>10-Jan</c:v>
                  </c:pt>
                  <c:pt idx="10">
                    <c:v>11-Jan</c:v>
                  </c:pt>
                  <c:pt idx="11">
                    <c:v>12-Jan</c:v>
                  </c:pt>
                  <c:pt idx="12">
                    <c:v>13-Jan</c:v>
                  </c:pt>
                  <c:pt idx="13">
                    <c:v>14-Jan</c:v>
                  </c:pt>
                  <c:pt idx="14">
                    <c:v>15-Jan</c:v>
                  </c:pt>
                  <c:pt idx="15">
                    <c:v>16-Jan</c:v>
                  </c:pt>
                  <c:pt idx="16">
                    <c:v>17-Jan</c:v>
                  </c:pt>
                  <c:pt idx="17">
                    <c:v>18-Jan</c:v>
                  </c:pt>
                  <c:pt idx="18">
                    <c:v>19-Jan</c:v>
                  </c:pt>
                  <c:pt idx="19">
                    <c:v>20-Jan</c:v>
                  </c:pt>
                  <c:pt idx="20">
                    <c:v>21-Jan</c:v>
                  </c:pt>
                  <c:pt idx="21">
                    <c:v>22-Jan</c:v>
                  </c:pt>
                  <c:pt idx="22">
                    <c:v>23-Jan</c:v>
                  </c:pt>
                  <c:pt idx="23">
                    <c:v>24-Jan</c:v>
                  </c:pt>
                  <c:pt idx="24">
                    <c:v>25-Jan</c:v>
                  </c:pt>
                  <c:pt idx="25">
                    <c:v>26-Jan</c:v>
                  </c:pt>
                  <c:pt idx="26">
                    <c:v>27-Jan</c:v>
                  </c:pt>
                  <c:pt idx="27">
                    <c:v>28-Jan</c:v>
                  </c:pt>
                  <c:pt idx="28">
                    <c:v>29-Jan</c:v>
                  </c:pt>
                  <c:pt idx="29">
                    <c:v>30-Jan</c:v>
                  </c:pt>
                  <c:pt idx="30">
                    <c:v>31-Jan</c:v>
                  </c:pt>
                  <c:pt idx="31">
                    <c:v>01-Feb</c:v>
                  </c:pt>
                  <c:pt idx="32">
                    <c:v>02-Feb</c:v>
                  </c:pt>
                  <c:pt idx="33">
                    <c:v>03-Feb</c:v>
                  </c:pt>
                  <c:pt idx="34">
                    <c:v>04-Feb</c:v>
                  </c:pt>
                  <c:pt idx="35">
                    <c:v>05-Feb</c:v>
                  </c:pt>
                  <c:pt idx="36">
                    <c:v>06-Feb</c:v>
                  </c:pt>
                  <c:pt idx="37">
                    <c:v>07-Feb</c:v>
                  </c:pt>
                  <c:pt idx="38">
                    <c:v>08-Feb</c:v>
                  </c:pt>
                  <c:pt idx="39">
                    <c:v>09-Feb</c:v>
                  </c:pt>
                  <c:pt idx="40">
                    <c:v>10-Feb</c:v>
                  </c:pt>
                  <c:pt idx="41">
                    <c:v>11-Feb</c:v>
                  </c:pt>
                  <c:pt idx="42">
                    <c:v>12-Feb</c:v>
                  </c:pt>
                  <c:pt idx="43">
                    <c:v>13-Feb</c:v>
                  </c:pt>
                  <c:pt idx="44">
                    <c:v>14-Feb</c:v>
                  </c:pt>
                  <c:pt idx="45">
                    <c:v>15-Feb</c:v>
                  </c:pt>
                  <c:pt idx="46">
                    <c:v>16-Feb</c:v>
                  </c:pt>
                  <c:pt idx="47">
                    <c:v>17-Feb</c:v>
                  </c:pt>
                  <c:pt idx="48">
                    <c:v>18-Feb</c:v>
                  </c:pt>
                  <c:pt idx="49">
                    <c:v>19-Feb</c:v>
                  </c:pt>
                  <c:pt idx="50">
                    <c:v>20-Feb</c:v>
                  </c:pt>
                  <c:pt idx="51">
                    <c:v>21-Feb</c:v>
                  </c:pt>
                  <c:pt idx="52">
                    <c:v>22-Feb</c:v>
                  </c:pt>
                  <c:pt idx="53">
                    <c:v>23-Feb</c:v>
                  </c:pt>
                  <c:pt idx="54">
                    <c:v>24-Feb</c:v>
                  </c:pt>
                  <c:pt idx="55">
                    <c:v>25-Feb</c:v>
                  </c:pt>
                  <c:pt idx="56">
                    <c:v>26-Feb</c:v>
                  </c:pt>
                  <c:pt idx="57">
                    <c:v>27-Feb</c:v>
                  </c:pt>
                  <c:pt idx="58">
                    <c:v>28-Feb</c:v>
                  </c:pt>
                  <c:pt idx="59">
                    <c:v>01-Mar</c:v>
                  </c:pt>
                  <c:pt idx="60">
                    <c:v>02-Mar</c:v>
                  </c:pt>
                  <c:pt idx="61">
                    <c:v>03-Mar</c:v>
                  </c:pt>
                  <c:pt idx="62">
                    <c:v>04-Mar</c:v>
                  </c:pt>
                  <c:pt idx="63">
                    <c:v>05-Mar</c:v>
                  </c:pt>
                  <c:pt idx="64">
                    <c:v>06-Mar</c:v>
                  </c:pt>
                  <c:pt idx="65">
                    <c:v>07-Mar</c:v>
                  </c:pt>
                  <c:pt idx="66">
                    <c:v>08-Mar</c:v>
                  </c:pt>
                  <c:pt idx="67">
                    <c:v>09-Mar</c:v>
                  </c:pt>
                  <c:pt idx="68">
                    <c:v>10-Mar</c:v>
                  </c:pt>
                  <c:pt idx="69">
                    <c:v>11-Mar</c:v>
                  </c:pt>
                  <c:pt idx="70">
                    <c:v>12-Mar</c:v>
                  </c:pt>
                  <c:pt idx="71">
                    <c:v>13-Mar</c:v>
                  </c:pt>
                  <c:pt idx="72">
                    <c:v>14-Mar</c:v>
                  </c:pt>
                  <c:pt idx="73">
                    <c:v>15-Mar</c:v>
                  </c:pt>
                  <c:pt idx="74">
                    <c:v>16-Mar</c:v>
                  </c:pt>
                  <c:pt idx="75">
                    <c:v>17-Mar</c:v>
                  </c:pt>
                  <c:pt idx="76">
                    <c:v>18-Mar</c:v>
                  </c:pt>
                  <c:pt idx="77">
                    <c:v>19-Mar</c:v>
                  </c:pt>
                  <c:pt idx="78">
                    <c:v>20-Mar</c:v>
                  </c:pt>
                  <c:pt idx="79">
                    <c:v>21-Mar</c:v>
                  </c:pt>
                  <c:pt idx="80">
                    <c:v>22-Mar</c:v>
                  </c:pt>
                  <c:pt idx="81">
                    <c:v>23-Mar</c:v>
                  </c:pt>
                  <c:pt idx="82">
                    <c:v>24-Mar</c:v>
                  </c:pt>
                  <c:pt idx="83">
                    <c:v>25-Mar</c:v>
                  </c:pt>
                  <c:pt idx="84">
                    <c:v>26-Mar</c:v>
                  </c:pt>
                  <c:pt idx="85">
                    <c:v>27-Mar</c:v>
                  </c:pt>
                  <c:pt idx="86">
                    <c:v>28-Mar</c:v>
                  </c:pt>
                  <c:pt idx="87">
                    <c:v>29-Mar</c:v>
                  </c:pt>
                  <c:pt idx="88">
                    <c:v>30-Mar</c:v>
                  </c:pt>
                  <c:pt idx="89">
                    <c:v>31-Mar</c:v>
                  </c:pt>
                  <c:pt idx="90">
                    <c:v>01-Apr</c:v>
                  </c:pt>
                  <c:pt idx="91">
                    <c:v>02-Apr</c:v>
                  </c:pt>
                  <c:pt idx="92">
                    <c:v>03-Apr</c:v>
                  </c:pt>
                  <c:pt idx="93">
                    <c:v>04-Apr</c:v>
                  </c:pt>
                  <c:pt idx="94">
                    <c:v>05-Apr</c:v>
                  </c:pt>
                  <c:pt idx="95">
                    <c:v>06-Apr</c:v>
                  </c:pt>
                  <c:pt idx="96">
                    <c:v>07-Apr</c:v>
                  </c:pt>
                  <c:pt idx="97">
                    <c:v>08-Apr</c:v>
                  </c:pt>
                  <c:pt idx="98">
                    <c:v>09-Apr</c:v>
                  </c:pt>
                  <c:pt idx="99">
                    <c:v>10-Apr</c:v>
                  </c:pt>
                </c:lvl>
                <c:lvl>
                  <c:pt idx="0">
                    <c:v>Jan</c:v>
                  </c:pt>
                  <c:pt idx="31">
                    <c:v>Feb</c:v>
                  </c:pt>
                  <c:pt idx="59">
                    <c:v>Mar</c:v>
                  </c:pt>
                  <c:pt idx="90">
                    <c:v>Apr</c:v>
                  </c:pt>
                </c:lvl>
              </c:multiLvlStrCache>
            </c:multiLvlStrRef>
          </c:cat>
          <c:val>
            <c:numRef>
              <c:f>monthy_sales!$B$4:$B$208</c:f>
              <c:numCache>
                <c:formatCode>"₹"\ #,##0</c:formatCode>
                <c:ptCount val="100"/>
                <c:pt idx="0">
                  <c:v>95000</c:v>
                </c:pt>
                <c:pt idx="1">
                  <c:v>3600</c:v>
                </c:pt>
                <c:pt idx="2">
                  <c:v>4275</c:v>
                </c:pt>
                <c:pt idx="3">
                  <c:v>21600</c:v>
                </c:pt>
                <c:pt idx="4">
                  <c:v>14250</c:v>
                </c:pt>
                <c:pt idx="5">
                  <c:v>8500</c:v>
                </c:pt>
                <c:pt idx="6">
                  <c:v>49500</c:v>
                </c:pt>
                <c:pt idx="7">
                  <c:v>5700</c:v>
                </c:pt>
                <c:pt idx="8">
                  <c:v>6480</c:v>
                </c:pt>
                <c:pt idx="9">
                  <c:v>31350</c:v>
                </c:pt>
                <c:pt idx="10">
                  <c:v>25200</c:v>
                </c:pt>
                <c:pt idx="11">
                  <c:v>10450</c:v>
                </c:pt>
                <c:pt idx="12">
                  <c:v>132600</c:v>
                </c:pt>
                <c:pt idx="13">
                  <c:v>7650</c:v>
                </c:pt>
                <c:pt idx="14">
                  <c:v>6080</c:v>
                </c:pt>
                <c:pt idx="15">
                  <c:v>22500</c:v>
                </c:pt>
                <c:pt idx="16">
                  <c:v>44175</c:v>
                </c:pt>
                <c:pt idx="17">
                  <c:v>16660</c:v>
                </c:pt>
                <c:pt idx="18">
                  <c:v>86400</c:v>
                </c:pt>
                <c:pt idx="19">
                  <c:v>5130</c:v>
                </c:pt>
                <c:pt idx="20">
                  <c:v>6300</c:v>
                </c:pt>
                <c:pt idx="21">
                  <c:v>12350</c:v>
                </c:pt>
                <c:pt idx="22">
                  <c:v>28800</c:v>
                </c:pt>
                <c:pt idx="23">
                  <c:v>9880</c:v>
                </c:pt>
                <c:pt idx="24">
                  <c:v>51000</c:v>
                </c:pt>
                <c:pt idx="25">
                  <c:v>5670</c:v>
                </c:pt>
                <c:pt idx="26">
                  <c:v>8977.5</c:v>
                </c:pt>
                <c:pt idx="27">
                  <c:v>31050</c:v>
                </c:pt>
                <c:pt idx="28">
                  <c:v>13775</c:v>
                </c:pt>
                <c:pt idx="29">
                  <c:v>12240</c:v>
                </c:pt>
                <c:pt idx="30">
                  <c:v>91800</c:v>
                </c:pt>
                <c:pt idx="31">
                  <c:v>3895</c:v>
                </c:pt>
                <c:pt idx="32">
                  <c:v>4185</c:v>
                </c:pt>
                <c:pt idx="33">
                  <c:v>22420</c:v>
                </c:pt>
                <c:pt idx="34">
                  <c:v>40500</c:v>
                </c:pt>
                <c:pt idx="35">
                  <c:v>17480</c:v>
                </c:pt>
                <c:pt idx="36">
                  <c:v>90100</c:v>
                </c:pt>
                <c:pt idx="37">
                  <c:v>4914</c:v>
                </c:pt>
                <c:pt idx="38">
                  <c:v>6887.5</c:v>
                </c:pt>
                <c:pt idx="39">
                  <c:v>10980</c:v>
                </c:pt>
                <c:pt idx="40">
                  <c:v>28880</c:v>
                </c:pt>
                <c:pt idx="41">
                  <c:v>11475</c:v>
                </c:pt>
                <c:pt idx="42">
                  <c:v>132300</c:v>
                </c:pt>
                <c:pt idx="43">
                  <c:v>6536</c:v>
                </c:pt>
                <c:pt idx="44">
                  <c:v>4680</c:v>
                </c:pt>
                <c:pt idx="45">
                  <c:v>24320</c:v>
                </c:pt>
                <c:pt idx="46">
                  <c:v>13320</c:v>
                </c:pt>
                <c:pt idx="47">
                  <c:v>14250</c:v>
                </c:pt>
                <c:pt idx="48">
                  <c:v>91800</c:v>
                </c:pt>
                <c:pt idx="49">
                  <c:v>6480</c:v>
                </c:pt>
                <c:pt idx="50">
                  <c:v>8550</c:v>
                </c:pt>
                <c:pt idx="51">
                  <c:v>31320</c:v>
                </c:pt>
                <c:pt idx="52">
                  <c:v>30020</c:v>
                </c:pt>
                <c:pt idx="53">
                  <c:v>9860</c:v>
                </c:pt>
                <c:pt idx="54">
                  <c:v>51300</c:v>
                </c:pt>
                <c:pt idx="55">
                  <c:v>5852</c:v>
                </c:pt>
                <c:pt idx="56">
                  <c:v>5625</c:v>
                </c:pt>
                <c:pt idx="57">
                  <c:v>22610</c:v>
                </c:pt>
                <c:pt idx="58">
                  <c:v>38340</c:v>
                </c:pt>
                <c:pt idx="59">
                  <c:v>13062.5</c:v>
                </c:pt>
                <c:pt idx="60">
                  <c:v>85000</c:v>
                </c:pt>
                <c:pt idx="61">
                  <c:v>4374</c:v>
                </c:pt>
                <c:pt idx="62">
                  <c:v>5890</c:v>
                </c:pt>
                <c:pt idx="63">
                  <c:v>21780</c:v>
                </c:pt>
                <c:pt idx="64">
                  <c:v>14250</c:v>
                </c:pt>
                <c:pt idx="65">
                  <c:v>17340</c:v>
                </c:pt>
                <c:pt idx="66">
                  <c:v>94500</c:v>
                </c:pt>
                <c:pt idx="67">
                  <c:v>3752.5</c:v>
                </c:pt>
                <c:pt idx="68">
                  <c:v>8505</c:v>
                </c:pt>
                <c:pt idx="69">
                  <c:v>33345</c:v>
                </c:pt>
                <c:pt idx="70">
                  <c:v>27720</c:v>
                </c:pt>
                <c:pt idx="71">
                  <c:v>13965</c:v>
                </c:pt>
                <c:pt idx="72">
                  <c:v>50150</c:v>
                </c:pt>
                <c:pt idx="73">
                  <c:v>6804</c:v>
                </c:pt>
                <c:pt idx="74">
                  <c:v>4702.5</c:v>
                </c:pt>
                <c:pt idx="75">
                  <c:v>22320</c:v>
                </c:pt>
                <c:pt idx="76">
                  <c:v>41895</c:v>
                </c:pt>
                <c:pt idx="77">
                  <c:v>12112.5</c:v>
                </c:pt>
                <c:pt idx="78">
                  <c:v>90900</c:v>
                </c:pt>
                <c:pt idx="79">
                  <c:v>5776</c:v>
                </c:pt>
                <c:pt idx="80">
                  <c:v>5220</c:v>
                </c:pt>
                <c:pt idx="81">
                  <c:v>12540</c:v>
                </c:pt>
                <c:pt idx="82">
                  <c:v>27180</c:v>
                </c:pt>
                <c:pt idx="83">
                  <c:v>17622.5</c:v>
                </c:pt>
                <c:pt idx="84">
                  <c:v>131325</c:v>
                </c:pt>
                <c:pt idx="85">
                  <c:v>4482</c:v>
                </c:pt>
                <c:pt idx="86">
                  <c:v>6555</c:v>
                </c:pt>
                <c:pt idx="87">
                  <c:v>22680</c:v>
                </c:pt>
                <c:pt idx="88">
                  <c:v>15105</c:v>
                </c:pt>
                <c:pt idx="89">
                  <c:v>10030</c:v>
                </c:pt>
                <c:pt idx="90">
                  <c:v>96300</c:v>
                </c:pt>
                <c:pt idx="91">
                  <c:v>7695</c:v>
                </c:pt>
                <c:pt idx="92">
                  <c:v>8208</c:v>
                </c:pt>
                <c:pt idx="93">
                  <c:v>34200</c:v>
                </c:pt>
                <c:pt idx="94">
                  <c:v>28080</c:v>
                </c:pt>
                <c:pt idx="95">
                  <c:v>13062.5</c:v>
                </c:pt>
                <c:pt idx="96">
                  <c:v>51850</c:v>
                </c:pt>
                <c:pt idx="97">
                  <c:v>5355</c:v>
                </c:pt>
                <c:pt idx="98">
                  <c:v>5624</c:v>
                </c:pt>
                <c:pt idx="99">
                  <c:v>23220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F-4A58-B895-278C665D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75231"/>
        <c:axId val="461213935"/>
      </c:lineChart>
      <c:catAx>
        <c:axId val="9141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13935"/>
        <c:crosses val="autoZero"/>
        <c:auto val="1"/>
        <c:lblAlgn val="ctr"/>
        <c:lblOffset val="100"/>
        <c:noMultiLvlLbl val="0"/>
      </c:catAx>
      <c:valAx>
        <c:axId val="461213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9141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GIT2.xlsx]CATEGORY BY SALES!PivotTable8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CATEGOTY</a:t>
            </a:r>
            <a:r>
              <a:rPr lang="en-US" baseline="0"/>
              <a:t> BY SALES</a:t>
            </a:r>
            <a:endParaRPr lang="en-US"/>
          </a:p>
        </c:rich>
      </c:tx>
      <c:layout>
        <c:manualLayout>
          <c:xMode val="edge"/>
          <c:yMode val="edge"/>
          <c:x val="0.36327861473963152"/>
          <c:y val="0.12502380420113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BY SALES'!$A$4:$A$6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'CATEGORY BY SALES'!$B$4:$B$6</c:f>
              <c:numCache>
                <c:formatCode>"₹"\ #,##0</c:formatCode>
                <c:ptCount val="2"/>
                <c:pt idx="0">
                  <c:v>408400</c:v>
                </c:pt>
                <c:pt idx="1">
                  <c:v>2303900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6-4A4B-8E55-2FE76D2C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793119"/>
        <c:axId val="921725839"/>
      </c:barChart>
      <c:catAx>
        <c:axId val="9077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25839"/>
        <c:crosses val="autoZero"/>
        <c:auto val="1"/>
        <c:lblAlgn val="ctr"/>
        <c:lblOffset val="100"/>
        <c:noMultiLvlLbl val="0"/>
      </c:catAx>
      <c:valAx>
        <c:axId val="9217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 GIT2.xlsx]CATEGORY BY SALES!PivotTable8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BY SALES'!$A$4:$A$6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'CATEGORY BY SALES'!$B$4:$B$6</c:f>
              <c:numCache>
                <c:formatCode>"₹"\ #,##0</c:formatCode>
                <c:ptCount val="2"/>
                <c:pt idx="0">
                  <c:v>408400</c:v>
                </c:pt>
                <c:pt idx="1">
                  <c:v>2303900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D-4217-8208-2BB01D979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793119"/>
        <c:axId val="921725839"/>
      </c:barChart>
      <c:catAx>
        <c:axId val="9077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25839"/>
        <c:crosses val="autoZero"/>
        <c:auto val="1"/>
        <c:lblAlgn val="ctr"/>
        <c:lblOffset val="100"/>
        <c:noMultiLvlLbl val="0"/>
      </c:catAx>
      <c:valAx>
        <c:axId val="9217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0</xdr:row>
      <xdr:rowOff>152400</xdr:rowOff>
    </xdr:from>
    <xdr:to>
      <xdr:col>10</xdr:col>
      <xdr:colOff>510540</xdr:colOff>
      <xdr:row>15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B0BBB-3764-383C-7BF3-583E58696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118110</xdr:rowOff>
    </xdr:from>
    <xdr:to>
      <xdr:col>10</xdr:col>
      <xdr:colOff>76200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1F6F6-4716-3B6F-ABD2-2BA7B9583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6</xdr:row>
      <xdr:rowOff>41910</xdr:rowOff>
    </xdr:from>
    <xdr:to>
      <xdr:col>10</xdr:col>
      <xdr:colOff>228600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D5424-89A3-C032-0EDB-4172B082C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5</xdr:row>
      <xdr:rowOff>99060</xdr:rowOff>
    </xdr:from>
    <xdr:to>
      <xdr:col>11</xdr:col>
      <xdr:colOff>99060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A2C3B-82D9-429D-A93F-A79C74680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16</xdr:row>
      <xdr:rowOff>167640</xdr:rowOff>
    </xdr:from>
    <xdr:to>
      <xdr:col>11</xdr:col>
      <xdr:colOff>83820</xdr:colOff>
      <xdr:row>29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66E394-0D58-4F22-B0CA-7E7A93DF6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137160</xdr:colOff>
      <xdr:row>17</xdr:row>
      <xdr:rowOff>22860</xdr:rowOff>
    </xdr:from>
    <xdr:to>
      <xdr:col>17</xdr:col>
      <xdr:colOff>160020</xdr:colOff>
      <xdr:row>29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9F18B1-5117-41AE-84F6-2C6C9D009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137160</xdr:colOff>
      <xdr:row>5</xdr:row>
      <xdr:rowOff>83820</xdr:rowOff>
    </xdr:from>
    <xdr:to>
      <xdr:col>17</xdr:col>
      <xdr:colOff>91440</xdr:colOff>
      <xdr:row>16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56828E-F70C-43E5-94BD-FF47CAB5F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1089660</xdr:colOff>
      <xdr:row>6</xdr:row>
      <xdr:rowOff>41910</xdr:rowOff>
    </xdr:from>
    <xdr:to>
      <xdr:col>10</xdr:col>
      <xdr:colOff>213360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958314-0AB0-3B9E-9C42-7A3C4683E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hiv" refreshedDate="46245.546870601851" createdVersion="8" refreshedVersion="8" minRefreshableVersion="3" recordCount="100" xr:uid="{A4D441EB-84CB-455B-8DF7-3C6AC96F3A6F}">
  <cacheSource type="worksheet">
    <worksheetSource name="Table2"/>
  </cacheSource>
  <cacheFields count="16">
    <cacheField name="Order ID" numFmtId="0">
      <sharedItems/>
    </cacheField>
    <cacheField name="Date" numFmtId="164">
      <sharedItems containsSemiMixedTypes="0" containsNonDate="0" containsDate="1" containsString="0" minDate="2026-01-01T00:00:00" maxDate="2026-04-11T00:00:00" count="10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  <fieldGroup par="15"/>
    </cacheField>
    <cacheField name="Product" numFmtId="0">
      <sharedItems count="6">
        <s v="Laptop"/>
        <s v="Mouse"/>
        <s v="Keyboard"/>
        <s v="Monitor"/>
        <s v="Printer"/>
        <s v="Headphones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4">
      <sharedItems containsSemiMixedTypes="0" containsString="0" containsNumber="1" containsInteger="1" minValue="700" maxValue="61000"/>
    </cacheField>
    <cacheField name="Sales" numFmtId="3">
      <sharedItems containsSemiMixedTypes="0" containsString="0" containsNumber="1" containsInteger="1" minValue="3950" maxValue="156000"/>
    </cacheField>
    <cacheField name="Discount" numFmtId="9">
      <sharedItems containsSemiMixedTypes="0" containsString="0" containsNumber="1" minValue="0.05" maxValue="0.15"/>
    </cacheField>
    <cacheField name="Final Sales" numFmtId="166">
      <sharedItems containsSemiMixedTypes="0" containsString="0" containsNumber="1" minValue="3600" maxValue="132600"/>
    </cacheField>
    <cacheField name="Sales Status" numFmtId="0">
      <sharedItems/>
    </cacheField>
    <cacheField name="Review" numFmtId="4">
      <sharedItems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  <cacheField name="Days (Date)" numFmtId="0" databaseField="0">
      <fieldGroup base="1">
        <rangePr groupBy="days" startDate="2026-01-01T00:00:00" endDate="2026-04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4-2026"/>
        </groupItems>
      </fieldGroup>
    </cacheField>
    <cacheField name="Months (Date)" numFmtId="0" databaseField="0">
      <fieldGroup base="1">
        <rangePr groupBy="months" startDate="2026-01-01T00:00:00" endDate="2026-04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x v="0"/>
    <x v="0"/>
    <x v="0"/>
    <x v="0"/>
    <n v="2"/>
    <n v="50000"/>
    <n v="100000"/>
    <n v="0.05"/>
    <n v="95000"/>
    <s v="High"/>
    <s v="Excellenet"/>
    <m/>
    <m/>
  </r>
  <r>
    <s v="ORD002"/>
    <x v="1"/>
    <x v="1"/>
    <x v="1"/>
    <x v="1"/>
    <n v="5"/>
    <n v="800"/>
    <n v="4000"/>
    <n v="0.1"/>
    <n v="3600"/>
    <s v="Low"/>
    <s v="Low"/>
    <m/>
    <m/>
  </r>
  <r>
    <s v="ORD003"/>
    <x v="2"/>
    <x v="2"/>
    <x v="1"/>
    <x v="2"/>
    <n v="3"/>
    <n v="1500"/>
    <n v="4500"/>
    <n v="0.05"/>
    <n v="4275"/>
    <s v="Low"/>
    <s v="Low"/>
    <m/>
    <m/>
  </r>
  <r>
    <s v="ORD004"/>
    <x v="3"/>
    <x v="3"/>
    <x v="0"/>
    <x v="3"/>
    <n v="2"/>
    <n v="12000"/>
    <n v="24000"/>
    <n v="0.1"/>
    <n v="21600"/>
    <s v="Low"/>
    <s v="Low"/>
    <m/>
    <m/>
  </r>
  <r>
    <s v="ORD005"/>
    <x v="4"/>
    <x v="4"/>
    <x v="0"/>
    <x v="0"/>
    <n v="1"/>
    <n v="15000"/>
    <n v="15000"/>
    <n v="0.05"/>
    <n v="14250"/>
    <s v="Low"/>
    <s v="Low"/>
    <m/>
    <m/>
  </r>
  <r>
    <s v="ORD006"/>
    <x v="5"/>
    <x v="5"/>
    <x v="1"/>
    <x v="1"/>
    <n v="4"/>
    <n v="2500"/>
    <n v="10000"/>
    <n v="0.15"/>
    <n v="8500"/>
    <s v="Low"/>
    <s v="Low"/>
    <m/>
    <m/>
  </r>
  <r>
    <s v="ORD007"/>
    <x v="6"/>
    <x v="0"/>
    <x v="0"/>
    <x v="2"/>
    <n v="1"/>
    <n v="55000"/>
    <n v="55000"/>
    <n v="0.1"/>
    <n v="49500"/>
    <s v="Medium"/>
    <s v="Good"/>
    <m/>
    <m/>
  </r>
  <r>
    <s v="ORD008"/>
    <x v="7"/>
    <x v="1"/>
    <x v="1"/>
    <x v="3"/>
    <n v="8"/>
    <n v="750"/>
    <n v="6000"/>
    <n v="0.05"/>
    <n v="5700"/>
    <s v="Low"/>
    <s v="Low"/>
    <m/>
    <m/>
  </r>
  <r>
    <s v="ORD009"/>
    <x v="8"/>
    <x v="2"/>
    <x v="1"/>
    <x v="0"/>
    <n v="6"/>
    <n v="1200"/>
    <n v="7200"/>
    <n v="0.1"/>
    <n v="6480"/>
    <s v="Low"/>
    <s v="Low"/>
    <m/>
    <m/>
  </r>
  <r>
    <s v="ORD010"/>
    <x v="9"/>
    <x v="3"/>
    <x v="0"/>
    <x v="1"/>
    <n v="3"/>
    <n v="11000"/>
    <n v="33000"/>
    <n v="0.05"/>
    <n v="31350"/>
    <s v="Medium"/>
    <s v="Good"/>
    <m/>
    <m/>
  </r>
  <r>
    <s v="ORD011"/>
    <x v="10"/>
    <x v="4"/>
    <x v="0"/>
    <x v="2"/>
    <n v="2"/>
    <n v="14000"/>
    <n v="28000"/>
    <n v="0.1"/>
    <n v="25200"/>
    <s v="Medium"/>
    <s v="Low"/>
    <m/>
    <m/>
  </r>
  <r>
    <s v="ORD012"/>
    <x v="11"/>
    <x v="5"/>
    <x v="1"/>
    <x v="3"/>
    <n v="5"/>
    <n v="2200"/>
    <n v="11000"/>
    <n v="0.05"/>
    <n v="10450"/>
    <s v="Low"/>
    <s v="Low"/>
    <m/>
    <m/>
  </r>
  <r>
    <s v="ORD013"/>
    <x v="12"/>
    <x v="0"/>
    <x v="0"/>
    <x v="0"/>
    <n v="3"/>
    <n v="52000"/>
    <n v="156000"/>
    <n v="0.15"/>
    <n v="132600"/>
    <s v="High"/>
    <s v="Excellenet"/>
    <m/>
    <m/>
  </r>
  <r>
    <s v="ORD014"/>
    <x v="13"/>
    <x v="1"/>
    <x v="1"/>
    <x v="1"/>
    <n v="10"/>
    <n v="850"/>
    <n v="8500"/>
    <n v="0.1"/>
    <n v="7650"/>
    <s v="Low"/>
    <s v="Low"/>
    <m/>
    <m/>
  </r>
  <r>
    <s v="ORD015"/>
    <x v="14"/>
    <x v="2"/>
    <x v="1"/>
    <x v="2"/>
    <n v="4"/>
    <n v="1600"/>
    <n v="6400"/>
    <n v="0.05"/>
    <n v="6080"/>
    <s v="Low"/>
    <s v="Low"/>
    <m/>
    <m/>
  </r>
  <r>
    <s v="ORD016"/>
    <x v="15"/>
    <x v="3"/>
    <x v="0"/>
    <x v="3"/>
    <n v="2"/>
    <n v="12500"/>
    <n v="25000"/>
    <n v="0.1"/>
    <n v="22500"/>
    <s v="Low"/>
    <s v="Low"/>
    <m/>
    <m/>
  </r>
  <r>
    <s v="ORD017"/>
    <x v="16"/>
    <x v="4"/>
    <x v="0"/>
    <x v="0"/>
    <n v="3"/>
    <n v="15500"/>
    <n v="46500"/>
    <n v="0.05"/>
    <n v="44175"/>
    <s v="Medium"/>
    <s v="Good"/>
    <m/>
    <m/>
  </r>
  <r>
    <s v="ORD018"/>
    <x v="17"/>
    <x v="5"/>
    <x v="1"/>
    <x v="1"/>
    <n v="7"/>
    <n v="2800"/>
    <n v="19600"/>
    <n v="0.15"/>
    <n v="16660"/>
    <s v="Low"/>
    <s v="Low"/>
    <m/>
    <m/>
  </r>
  <r>
    <s v="ORD019"/>
    <x v="18"/>
    <x v="0"/>
    <x v="0"/>
    <x v="2"/>
    <n v="2"/>
    <n v="48000"/>
    <n v="96000"/>
    <n v="0.1"/>
    <n v="86400"/>
    <s v="High"/>
    <s v="Excellenet"/>
    <m/>
    <m/>
  </r>
  <r>
    <s v="ORD020"/>
    <x v="19"/>
    <x v="1"/>
    <x v="1"/>
    <x v="3"/>
    <n v="6"/>
    <n v="900"/>
    <n v="5400"/>
    <n v="0.05"/>
    <n v="5130"/>
    <s v="Low"/>
    <s v="Low"/>
    <m/>
    <m/>
  </r>
  <r>
    <s v="ORD021"/>
    <x v="20"/>
    <x v="2"/>
    <x v="1"/>
    <x v="0"/>
    <n v="5"/>
    <n v="1400"/>
    <n v="7000"/>
    <n v="0.1"/>
    <n v="6300"/>
    <s v="Low"/>
    <s v="Low"/>
    <m/>
    <m/>
  </r>
  <r>
    <s v="ORD022"/>
    <x v="21"/>
    <x v="3"/>
    <x v="0"/>
    <x v="1"/>
    <n v="1"/>
    <n v="13000"/>
    <n v="13000"/>
    <n v="0.05"/>
    <n v="12350"/>
    <s v="Low"/>
    <s v="Low"/>
    <m/>
    <m/>
  </r>
  <r>
    <s v="ORD023"/>
    <x v="22"/>
    <x v="4"/>
    <x v="0"/>
    <x v="2"/>
    <n v="2"/>
    <n v="16000"/>
    <n v="32000"/>
    <n v="0.1"/>
    <n v="28800"/>
    <s v="Medium"/>
    <s v="Low"/>
    <m/>
    <m/>
  </r>
  <r>
    <s v="ORD024"/>
    <x v="23"/>
    <x v="5"/>
    <x v="1"/>
    <x v="3"/>
    <n v="4"/>
    <n v="2600"/>
    <n v="10400"/>
    <n v="0.05"/>
    <n v="9880"/>
    <s v="Low"/>
    <s v="Low"/>
    <m/>
    <m/>
  </r>
  <r>
    <s v="ORD025"/>
    <x v="24"/>
    <x v="0"/>
    <x v="0"/>
    <x v="0"/>
    <n v="1"/>
    <n v="60000"/>
    <n v="60000"/>
    <n v="0.15"/>
    <n v="51000"/>
    <s v="High"/>
    <s v="Excellenet"/>
    <m/>
    <m/>
  </r>
  <r>
    <s v="ORD026"/>
    <x v="25"/>
    <x v="1"/>
    <x v="1"/>
    <x v="1"/>
    <n v="9"/>
    <n v="700"/>
    <n v="6300"/>
    <n v="0.1"/>
    <n v="5670"/>
    <s v="Low"/>
    <s v="Low"/>
    <m/>
    <m/>
  </r>
  <r>
    <s v="ORD027"/>
    <x v="26"/>
    <x v="2"/>
    <x v="1"/>
    <x v="2"/>
    <n v="7"/>
    <n v="1350"/>
    <n v="9450"/>
    <n v="0.05"/>
    <n v="8977.5"/>
    <s v="Low"/>
    <s v="Low"/>
    <m/>
    <m/>
  </r>
  <r>
    <s v="ORD028"/>
    <x v="27"/>
    <x v="3"/>
    <x v="0"/>
    <x v="3"/>
    <n v="3"/>
    <n v="11500"/>
    <n v="34500"/>
    <n v="0.1"/>
    <n v="31050"/>
    <s v="Medium"/>
    <s v="Good"/>
    <m/>
    <m/>
  </r>
  <r>
    <s v="ORD029"/>
    <x v="28"/>
    <x v="4"/>
    <x v="0"/>
    <x v="0"/>
    <n v="1"/>
    <n v="14500"/>
    <n v="14500"/>
    <n v="0.05"/>
    <n v="13775"/>
    <s v="Low"/>
    <s v="Low"/>
    <m/>
    <m/>
  </r>
  <r>
    <s v="ORD030"/>
    <x v="29"/>
    <x v="5"/>
    <x v="1"/>
    <x v="1"/>
    <n v="6"/>
    <n v="2400"/>
    <n v="14400"/>
    <n v="0.15"/>
    <n v="12240"/>
    <s v="Low"/>
    <s v="Low"/>
    <m/>
    <m/>
  </r>
  <r>
    <s v="ORD031"/>
    <x v="30"/>
    <x v="0"/>
    <x v="0"/>
    <x v="2"/>
    <n v="2"/>
    <n v="51000"/>
    <n v="102000"/>
    <n v="0.1"/>
    <n v="91800"/>
    <s v="High"/>
    <s v="Excellenet"/>
    <m/>
    <m/>
  </r>
  <r>
    <s v="ORD032"/>
    <x v="31"/>
    <x v="1"/>
    <x v="1"/>
    <x v="3"/>
    <n v="5"/>
    <n v="820"/>
    <n v="4100"/>
    <n v="0.05"/>
    <n v="3895"/>
    <s v="Low"/>
    <s v="Low"/>
    <m/>
    <m/>
  </r>
  <r>
    <s v="ORD033"/>
    <x v="32"/>
    <x v="2"/>
    <x v="1"/>
    <x v="0"/>
    <n v="3"/>
    <n v="1550"/>
    <n v="4650"/>
    <n v="0.1"/>
    <n v="4185"/>
    <s v="Low"/>
    <s v="Low"/>
    <m/>
    <m/>
  </r>
  <r>
    <s v="ORD034"/>
    <x v="33"/>
    <x v="3"/>
    <x v="0"/>
    <x v="1"/>
    <n v="2"/>
    <n v="11800"/>
    <n v="23600"/>
    <n v="0.05"/>
    <n v="22420"/>
    <s v="Low"/>
    <s v="Low"/>
    <m/>
    <m/>
  </r>
  <r>
    <s v="ORD035"/>
    <x v="34"/>
    <x v="4"/>
    <x v="0"/>
    <x v="2"/>
    <n v="3"/>
    <n v="15000"/>
    <n v="45000"/>
    <n v="0.1"/>
    <n v="40500"/>
    <s v="Medium"/>
    <s v="Good"/>
    <m/>
    <m/>
  </r>
  <r>
    <s v="ORD036"/>
    <x v="35"/>
    <x v="5"/>
    <x v="1"/>
    <x v="3"/>
    <n v="8"/>
    <n v="2300"/>
    <n v="18400"/>
    <n v="0.05"/>
    <n v="17480"/>
    <s v="Low"/>
    <s v="Low"/>
    <m/>
    <m/>
  </r>
  <r>
    <s v="ORD037"/>
    <x v="36"/>
    <x v="0"/>
    <x v="0"/>
    <x v="0"/>
    <n v="2"/>
    <n v="53000"/>
    <n v="106000"/>
    <n v="0.15"/>
    <n v="90100"/>
    <s v="High"/>
    <s v="Excellenet"/>
    <m/>
    <m/>
  </r>
  <r>
    <s v="ORD038"/>
    <x v="37"/>
    <x v="1"/>
    <x v="1"/>
    <x v="1"/>
    <n v="7"/>
    <n v="780"/>
    <n v="5460"/>
    <n v="0.1"/>
    <n v="4914"/>
    <s v="Low"/>
    <s v="Low"/>
    <m/>
    <m/>
  </r>
  <r>
    <s v="ORD039"/>
    <x v="38"/>
    <x v="2"/>
    <x v="1"/>
    <x v="2"/>
    <n v="5"/>
    <n v="1450"/>
    <n v="7250"/>
    <n v="0.05"/>
    <n v="6887.5"/>
    <s v="Low"/>
    <s v="Low"/>
    <m/>
    <m/>
  </r>
  <r>
    <s v="ORD040"/>
    <x v="39"/>
    <x v="3"/>
    <x v="0"/>
    <x v="3"/>
    <n v="1"/>
    <n v="12200"/>
    <n v="12200"/>
    <n v="0.1"/>
    <n v="10980"/>
    <s v="Low"/>
    <s v="Low"/>
    <m/>
    <m/>
  </r>
  <r>
    <s v="ORD041"/>
    <x v="40"/>
    <x v="4"/>
    <x v="0"/>
    <x v="0"/>
    <n v="2"/>
    <n v="15200"/>
    <n v="30400"/>
    <n v="0.05"/>
    <n v="28880"/>
    <s v="Medium"/>
    <s v="Low"/>
    <m/>
    <m/>
  </r>
  <r>
    <s v="ORD042"/>
    <x v="41"/>
    <x v="5"/>
    <x v="1"/>
    <x v="1"/>
    <n v="5"/>
    <n v="2700"/>
    <n v="13500"/>
    <n v="0.15"/>
    <n v="11475"/>
    <s v="Low"/>
    <s v="Low"/>
    <m/>
    <m/>
  </r>
  <r>
    <s v="ORD043"/>
    <x v="42"/>
    <x v="0"/>
    <x v="0"/>
    <x v="2"/>
    <n v="3"/>
    <n v="49000"/>
    <n v="147000"/>
    <n v="0.1"/>
    <n v="132300"/>
    <s v="High"/>
    <s v="Excellenet"/>
    <m/>
    <m/>
  </r>
  <r>
    <s v="ORD044"/>
    <x v="43"/>
    <x v="1"/>
    <x v="1"/>
    <x v="3"/>
    <n v="8"/>
    <n v="860"/>
    <n v="6880"/>
    <n v="0.05"/>
    <n v="6536"/>
    <s v="Low"/>
    <s v="Low"/>
    <m/>
    <m/>
  </r>
  <r>
    <s v="ORD045"/>
    <x v="44"/>
    <x v="2"/>
    <x v="1"/>
    <x v="0"/>
    <n v="4"/>
    <n v="1300"/>
    <n v="5200"/>
    <n v="0.1"/>
    <n v="4680"/>
    <s v="Low"/>
    <s v="Low"/>
    <m/>
    <m/>
  </r>
  <r>
    <s v="ORD046"/>
    <x v="45"/>
    <x v="3"/>
    <x v="0"/>
    <x v="1"/>
    <n v="2"/>
    <n v="12800"/>
    <n v="25600"/>
    <n v="0.05"/>
    <n v="24320"/>
    <s v="Low"/>
    <s v="Low"/>
    <m/>
    <m/>
  </r>
  <r>
    <s v="ORD047"/>
    <x v="46"/>
    <x v="4"/>
    <x v="0"/>
    <x v="2"/>
    <n v="1"/>
    <n v="14800"/>
    <n v="14800"/>
    <n v="0.1"/>
    <n v="13320"/>
    <s v="Low"/>
    <s v="Low"/>
    <m/>
    <m/>
  </r>
  <r>
    <s v="ORD048"/>
    <x v="47"/>
    <x v="5"/>
    <x v="1"/>
    <x v="3"/>
    <n v="6"/>
    <n v="2500"/>
    <n v="15000"/>
    <n v="0.05"/>
    <n v="14250"/>
    <s v="Low"/>
    <s v="Low"/>
    <m/>
    <m/>
  </r>
  <r>
    <s v="ORD049"/>
    <x v="48"/>
    <x v="0"/>
    <x v="0"/>
    <x v="0"/>
    <n v="2"/>
    <n v="54000"/>
    <n v="108000"/>
    <n v="0.15"/>
    <n v="91800"/>
    <s v="High"/>
    <s v="Excellenet"/>
    <m/>
    <m/>
  </r>
  <r>
    <s v="ORD050"/>
    <x v="49"/>
    <x v="1"/>
    <x v="1"/>
    <x v="1"/>
    <n v="10"/>
    <n v="720"/>
    <n v="7200"/>
    <n v="0.1"/>
    <n v="6480"/>
    <s v="Low"/>
    <s v="Low"/>
    <m/>
    <m/>
  </r>
  <r>
    <s v="ORD051"/>
    <x v="50"/>
    <x v="2"/>
    <x v="1"/>
    <x v="2"/>
    <n v="6"/>
    <n v="1500"/>
    <n v="9000"/>
    <n v="0.05"/>
    <n v="8550"/>
    <s v="Low"/>
    <s v="Low"/>
    <m/>
    <m/>
  </r>
  <r>
    <s v="ORD052"/>
    <x v="51"/>
    <x v="3"/>
    <x v="0"/>
    <x v="3"/>
    <n v="3"/>
    <n v="11600"/>
    <n v="34800"/>
    <n v="0.1"/>
    <n v="31320"/>
    <s v="Medium"/>
    <s v="Good"/>
    <m/>
    <m/>
  </r>
  <r>
    <s v="ORD053"/>
    <x v="52"/>
    <x v="4"/>
    <x v="0"/>
    <x v="0"/>
    <n v="2"/>
    <n v="15800"/>
    <n v="31600"/>
    <n v="0.05"/>
    <n v="30020"/>
    <s v="Medium"/>
    <s v="Good"/>
    <m/>
    <m/>
  </r>
  <r>
    <s v="ORD054"/>
    <x v="53"/>
    <x v="5"/>
    <x v="1"/>
    <x v="1"/>
    <n v="4"/>
    <n v="2900"/>
    <n v="11600"/>
    <n v="0.15"/>
    <n v="9860"/>
    <s v="Low"/>
    <s v="Low"/>
    <m/>
    <m/>
  </r>
  <r>
    <s v="ORD055"/>
    <x v="54"/>
    <x v="0"/>
    <x v="0"/>
    <x v="2"/>
    <n v="1"/>
    <n v="57000"/>
    <n v="57000"/>
    <n v="0.1"/>
    <n v="51300"/>
    <s v="High"/>
    <s v="Excellenet"/>
    <m/>
    <m/>
  </r>
  <r>
    <s v="ORD056"/>
    <x v="55"/>
    <x v="1"/>
    <x v="1"/>
    <x v="3"/>
    <n v="7"/>
    <n v="880"/>
    <n v="6160"/>
    <n v="0.05"/>
    <n v="5852"/>
    <s v="Low"/>
    <s v="Low"/>
    <m/>
    <m/>
  </r>
  <r>
    <s v="ORD057"/>
    <x v="56"/>
    <x v="2"/>
    <x v="1"/>
    <x v="0"/>
    <n v="5"/>
    <n v="1250"/>
    <n v="6250"/>
    <n v="0.1"/>
    <n v="5625"/>
    <s v="Low"/>
    <s v="Low"/>
    <m/>
    <m/>
  </r>
  <r>
    <s v="ORD058"/>
    <x v="57"/>
    <x v="3"/>
    <x v="0"/>
    <x v="1"/>
    <n v="2"/>
    <n v="11900"/>
    <n v="23800"/>
    <n v="0.05"/>
    <n v="22610"/>
    <s v="Low"/>
    <s v="Low"/>
    <m/>
    <m/>
  </r>
  <r>
    <s v="ORD059"/>
    <x v="58"/>
    <x v="4"/>
    <x v="0"/>
    <x v="2"/>
    <n v="3"/>
    <n v="14200"/>
    <n v="42600"/>
    <n v="0.1"/>
    <n v="38340"/>
    <s v="Medium"/>
    <s v="Good"/>
    <m/>
    <m/>
  </r>
  <r>
    <s v="ORD060"/>
    <x v="59"/>
    <x v="5"/>
    <x v="1"/>
    <x v="3"/>
    <n v="5"/>
    <n v="2750"/>
    <n v="13750"/>
    <n v="0.05"/>
    <n v="13062.5"/>
    <s v="Low"/>
    <s v="Low"/>
    <m/>
    <m/>
  </r>
  <r>
    <s v="ORD061"/>
    <x v="60"/>
    <x v="0"/>
    <x v="0"/>
    <x v="0"/>
    <n v="2"/>
    <n v="50000"/>
    <n v="100000"/>
    <n v="0.15"/>
    <n v="85000"/>
    <s v="High"/>
    <s v="Excellenet"/>
    <m/>
    <m/>
  </r>
  <r>
    <s v="ORD062"/>
    <x v="61"/>
    <x v="1"/>
    <x v="1"/>
    <x v="1"/>
    <n v="6"/>
    <n v="810"/>
    <n v="4860"/>
    <n v="0.1"/>
    <n v="4374"/>
    <s v="Low"/>
    <s v="Low"/>
    <m/>
    <m/>
  </r>
  <r>
    <s v="ORD063"/>
    <x v="62"/>
    <x v="2"/>
    <x v="1"/>
    <x v="2"/>
    <n v="4"/>
    <n v="1550"/>
    <n v="6200"/>
    <n v="0.05"/>
    <n v="5890"/>
    <s v="Low"/>
    <s v="Low"/>
    <m/>
    <m/>
  </r>
  <r>
    <s v="ORD064"/>
    <x v="63"/>
    <x v="3"/>
    <x v="0"/>
    <x v="3"/>
    <n v="2"/>
    <n v="12100"/>
    <n v="24200"/>
    <n v="0.1"/>
    <n v="21780"/>
    <s v="Low"/>
    <s v="Low"/>
    <m/>
    <m/>
  </r>
  <r>
    <s v="ORD065"/>
    <x v="64"/>
    <x v="4"/>
    <x v="0"/>
    <x v="0"/>
    <n v="1"/>
    <n v="15000"/>
    <n v="15000"/>
    <n v="0.05"/>
    <n v="14250"/>
    <s v="Low"/>
    <s v="Low"/>
    <m/>
    <m/>
  </r>
  <r>
    <s v="ORD066"/>
    <x v="65"/>
    <x v="5"/>
    <x v="1"/>
    <x v="1"/>
    <n v="8"/>
    <n v="2550"/>
    <n v="20400"/>
    <n v="0.15"/>
    <n v="17340"/>
    <s v="Low"/>
    <s v="Low"/>
    <m/>
    <m/>
  </r>
  <r>
    <s v="ORD067"/>
    <x v="66"/>
    <x v="0"/>
    <x v="0"/>
    <x v="2"/>
    <n v="2"/>
    <n v="52500"/>
    <n v="105000"/>
    <n v="0.1"/>
    <n v="94500"/>
    <s v="High"/>
    <s v="Excellenet"/>
    <m/>
    <m/>
  </r>
  <r>
    <s v="ORD068"/>
    <x v="67"/>
    <x v="1"/>
    <x v="1"/>
    <x v="3"/>
    <n v="5"/>
    <n v="790"/>
    <n v="3950"/>
    <n v="0.05"/>
    <n v="3752.5"/>
    <s v="Low"/>
    <s v="Low"/>
    <m/>
    <m/>
  </r>
  <r>
    <s v="ORD069"/>
    <x v="68"/>
    <x v="2"/>
    <x v="1"/>
    <x v="0"/>
    <n v="7"/>
    <n v="1350"/>
    <n v="9450"/>
    <n v="0.1"/>
    <n v="8505"/>
    <s v="Low"/>
    <s v="Low"/>
    <m/>
    <m/>
  </r>
  <r>
    <s v="ORD070"/>
    <x v="69"/>
    <x v="3"/>
    <x v="0"/>
    <x v="1"/>
    <n v="3"/>
    <n v="11700"/>
    <n v="35100"/>
    <n v="0.05"/>
    <n v="33345"/>
    <s v="Medium"/>
    <s v="Good"/>
    <m/>
    <m/>
  </r>
  <r>
    <s v="ORD071"/>
    <x v="70"/>
    <x v="4"/>
    <x v="0"/>
    <x v="2"/>
    <n v="2"/>
    <n v="15400"/>
    <n v="30800"/>
    <n v="0.1"/>
    <n v="27720"/>
    <s v="Medium"/>
    <s v="Low"/>
    <m/>
    <m/>
  </r>
  <r>
    <s v="ORD072"/>
    <x v="71"/>
    <x v="5"/>
    <x v="1"/>
    <x v="3"/>
    <n v="6"/>
    <n v="2450"/>
    <n v="14700"/>
    <n v="0.05"/>
    <n v="13965"/>
    <s v="Low"/>
    <s v="Low"/>
    <m/>
    <m/>
  </r>
  <r>
    <s v="ORD073"/>
    <x v="72"/>
    <x v="0"/>
    <x v="0"/>
    <x v="0"/>
    <n v="1"/>
    <n v="59000"/>
    <n v="59000"/>
    <n v="0.15"/>
    <n v="50150"/>
    <s v="High"/>
    <s v="Excellenet"/>
    <m/>
    <m/>
  </r>
  <r>
    <s v="ORD074"/>
    <x v="73"/>
    <x v="1"/>
    <x v="1"/>
    <x v="1"/>
    <n v="9"/>
    <n v="840"/>
    <n v="7560"/>
    <n v="0.1"/>
    <n v="6804"/>
    <s v="Low"/>
    <s v="Low"/>
    <m/>
    <m/>
  </r>
  <r>
    <s v="ORD075"/>
    <x v="74"/>
    <x v="2"/>
    <x v="1"/>
    <x v="2"/>
    <n v="3"/>
    <n v="1650"/>
    <n v="4950"/>
    <n v="0.05"/>
    <n v="4702.5"/>
    <s v="Low"/>
    <s v="Low"/>
    <m/>
    <m/>
  </r>
  <r>
    <s v="ORD076"/>
    <x v="75"/>
    <x v="3"/>
    <x v="0"/>
    <x v="3"/>
    <n v="2"/>
    <n v="12400"/>
    <n v="24800"/>
    <n v="0.1"/>
    <n v="22320"/>
    <s v="Low"/>
    <s v="Low"/>
    <m/>
    <m/>
  </r>
  <r>
    <s v="ORD077"/>
    <x v="76"/>
    <x v="4"/>
    <x v="0"/>
    <x v="0"/>
    <n v="3"/>
    <n v="14700"/>
    <n v="44100"/>
    <n v="0.05"/>
    <n v="41895"/>
    <s v="Medium"/>
    <s v="Good"/>
    <m/>
    <m/>
  </r>
  <r>
    <s v="ORD078"/>
    <x v="77"/>
    <x v="5"/>
    <x v="1"/>
    <x v="1"/>
    <n v="5"/>
    <n v="2850"/>
    <n v="14250"/>
    <n v="0.15"/>
    <n v="12112.5"/>
    <s v="Low"/>
    <s v="Low"/>
    <m/>
    <m/>
  </r>
  <r>
    <s v="ORD079"/>
    <x v="78"/>
    <x v="0"/>
    <x v="0"/>
    <x v="2"/>
    <n v="2"/>
    <n v="50500"/>
    <n v="101000"/>
    <n v="0.1"/>
    <n v="90900"/>
    <s v="High"/>
    <s v="Excellenet"/>
    <m/>
    <m/>
  </r>
  <r>
    <s v="ORD080"/>
    <x v="79"/>
    <x v="1"/>
    <x v="1"/>
    <x v="3"/>
    <n v="8"/>
    <n v="760"/>
    <n v="6080"/>
    <n v="0.05"/>
    <n v="5776"/>
    <s v="Low"/>
    <s v="Low"/>
    <m/>
    <m/>
  </r>
  <r>
    <s v="ORD081"/>
    <x v="80"/>
    <x v="2"/>
    <x v="1"/>
    <x v="0"/>
    <n v="4"/>
    <n v="1450"/>
    <n v="5800"/>
    <n v="0.1"/>
    <n v="5220"/>
    <s v="Low"/>
    <s v="Low"/>
    <m/>
    <m/>
  </r>
  <r>
    <s v="ORD082"/>
    <x v="81"/>
    <x v="3"/>
    <x v="0"/>
    <x v="1"/>
    <n v="1"/>
    <n v="13200"/>
    <n v="13200"/>
    <n v="0.05"/>
    <n v="12540"/>
    <s v="Low"/>
    <s v="Low"/>
    <m/>
    <m/>
  </r>
  <r>
    <s v="ORD083"/>
    <x v="82"/>
    <x v="4"/>
    <x v="0"/>
    <x v="2"/>
    <n v="2"/>
    <n v="15100"/>
    <n v="30200"/>
    <n v="0.1"/>
    <n v="27180"/>
    <s v="Medium"/>
    <s v="Low"/>
    <m/>
    <m/>
  </r>
  <r>
    <s v="ORD084"/>
    <x v="83"/>
    <x v="5"/>
    <x v="1"/>
    <x v="3"/>
    <n v="7"/>
    <n v="2650"/>
    <n v="18550"/>
    <n v="0.05"/>
    <n v="17622.5"/>
    <s v="Low"/>
    <s v="Low"/>
    <m/>
    <m/>
  </r>
  <r>
    <s v="ORD085"/>
    <x v="84"/>
    <x v="0"/>
    <x v="0"/>
    <x v="0"/>
    <n v="3"/>
    <n v="51500"/>
    <n v="154500"/>
    <n v="0.15"/>
    <n v="131325"/>
    <s v="High"/>
    <s v="Excellenet"/>
    <m/>
    <m/>
  </r>
  <r>
    <s v="ORD086"/>
    <x v="85"/>
    <x v="1"/>
    <x v="1"/>
    <x v="1"/>
    <n v="6"/>
    <n v="830"/>
    <n v="4980"/>
    <n v="0.1"/>
    <n v="4482"/>
    <s v="Low"/>
    <s v="Low"/>
    <m/>
    <m/>
  </r>
  <r>
    <s v="ORD087"/>
    <x v="86"/>
    <x v="2"/>
    <x v="1"/>
    <x v="2"/>
    <n v="5"/>
    <n v="1380"/>
    <n v="6900"/>
    <n v="0.05"/>
    <n v="6555"/>
    <s v="Low"/>
    <s v="Low"/>
    <m/>
    <m/>
  </r>
  <r>
    <s v="ORD088"/>
    <x v="87"/>
    <x v="3"/>
    <x v="0"/>
    <x v="3"/>
    <n v="2"/>
    <n v="12600"/>
    <n v="25200"/>
    <n v="0.1"/>
    <n v="22680"/>
    <s v="Low"/>
    <s v="Low"/>
    <m/>
    <m/>
  </r>
  <r>
    <s v="ORD089"/>
    <x v="88"/>
    <x v="4"/>
    <x v="0"/>
    <x v="0"/>
    <n v="1"/>
    <n v="15900"/>
    <n v="15900"/>
    <n v="0.05"/>
    <n v="15105"/>
    <s v="Low"/>
    <s v="Low"/>
    <m/>
    <m/>
  </r>
  <r>
    <s v="ORD090"/>
    <x v="89"/>
    <x v="5"/>
    <x v="1"/>
    <x v="1"/>
    <n v="4"/>
    <n v="2950"/>
    <n v="11800"/>
    <n v="0.15"/>
    <n v="10030"/>
    <s v="Low"/>
    <s v="Low"/>
    <m/>
    <m/>
  </r>
  <r>
    <s v="ORD091"/>
    <x v="90"/>
    <x v="0"/>
    <x v="0"/>
    <x v="2"/>
    <n v="2"/>
    <n v="53500"/>
    <n v="107000"/>
    <n v="0.1"/>
    <n v="96300"/>
    <s v="High"/>
    <s v="Excellenet"/>
    <m/>
    <m/>
  </r>
  <r>
    <s v="ORD092"/>
    <x v="91"/>
    <x v="1"/>
    <x v="1"/>
    <x v="3"/>
    <n v="10"/>
    <n v="810"/>
    <n v="8100"/>
    <n v="0.05"/>
    <n v="7695"/>
    <s v="Low"/>
    <s v="Low"/>
    <m/>
    <m/>
  </r>
  <r>
    <s v="ORD093"/>
    <x v="92"/>
    <x v="2"/>
    <x v="1"/>
    <x v="0"/>
    <n v="6"/>
    <n v="1520"/>
    <n v="9120"/>
    <n v="0.1"/>
    <n v="8208"/>
    <s v="Low"/>
    <s v="Low"/>
    <m/>
    <m/>
  </r>
  <r>
    <s v="ORD094"/>
    <x v="93"/>
    <x v="3"/>
    <x v="0"/>
    <x v="1"/>
    <n v="3"/>
    <n v="12000"/>
    <n v="36000"/>
    <n v="0.05"/>
    <n v="34200"/>
    <s v="Medium"/>
    <s v="Good"/>
    <m/>
    <m/>
  </r>
  <r>
    <s v="ORD095"/>
    <x v="94"/>
    <x v="4"/>
    <x v="0"/>
    <x v="2"/>
    <n v="2"/>
    <n v="15600"/>
    <n v="31200"/>
    <n v="0.1"/>
    <n v="28080"/>
    <s v="Medium"/>
    <s v="Low"/>
    <m/>
    <m/>
  </r>
  <r>
    <s v="ORD096"/>
    <x v="95"/>
    <x v="5"/>
    <x v="1"/>
    <x v="3"/>
    <n v="5"/>
    <n v="2750"/>
    <n v="13750"/>
    <n v="0.05"/>
    <n v="13062.5"/>
    <s v="Low"/>
    <s v="Low"/>
    <m/>
    <m/>
  </r>
  <r>
    <s v="ORD097"/>
    <x v="96"/>
    <x v="0"/>
    <x v="0"/>
    <x v="0"/>
    <n v="1"/>
    <n v="61000"/>
    <n v="61000"/>
    <n v="0.15"/>
    <n v="51850"/>
    <s v="High"/>
    <s v="Excellenet"/>
    <m/>
    <m/>
  </r>
  <r>
    <s v="ORD098"/>
    <x v="97"/>
    <x v="1"/>
    <x v="1"/>
    <x v="1"/>
    <n v="7"/>
    <n v="850"/>
    <n v="5950"/>
    <n v="0.1"/>
    <n v="5355"/>
    <s v="Low"/>
    <s v="Low"/>
    <m/>
    <m/>
  </r>
  <r>
    <s v="ORD099"/>
    <x v="98"/>
    <x v="2"/>
    <x v="1"/>
    <x v="2"/>
    <n v="4"/>
    <n v="1480"/>
    <n v="5920"/>
    <n v="0.05"/>
    <n v="5624"/>
    <s v="Low"/>
    <s v="Low"/>
    <m/>
    <m/>
  </r>
  <r>
    <s v="ORD100"/>
    <x v="99"/>
    <x v="3"/>
    <x v="0"/>
    <x v="3"/>
    <n v="2"/>
    <n v="12900"/>
    <n v="25800"/>
    <n v="0.1"/>
    <n v="23220"/>
    <s v="Low"/>
    <s v="Low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4BED7-1255-4912-9085-7A84171FFF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6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4" showAll="0"/>
    <pivotField numFmtId="3" showAll="0"/>
    <pivotField numFmtId="9" showAll="0"/>
    <pivotField dataField="1" numFmtId="166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Sales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DB3E8-D53B-4E4F-9C19-118B4796DB3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9" firstHeaderRow="1" firstDataRow="1" firstDataCol="1"/>
  <pivotFields count="16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 measureFilter="1">
      <items count="7">
        <item x="5"/>
        <item x="2"/>
        <item x="0"/>
        <item x="3"/>
        <item x="1"/>
        <item x="4"/>
        <item t="default"/>
      </items>
    </pivotField>
    <pivotField showAll="0"/>
    <pivotField showAll="0"/>
    <pivotField showAll="0"/>
    <pivotField numFmtId="4" showAll="0"/>
    <pivotField numFmtId="3" showAll="0"/>
    <pivotField numFmtId="9" showAll="0"/>
    <pivotField dataField="1" numFmtId="166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Final Sales" fld="9" baseField="0" baseItem="0" numFmtId="166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81ABB-0181-46E5-B4F9-22305945103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08" firstHeaderRow="1" firstDataRow="1" firstDataCol="1"/>
  <pivotFields count="16">
    <pivotField showAll="0"/>
    <pivotField axis="axisRow"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numFmtId="4" showAll="0"/>
    <pivotField numFmtId="3" showAll="0"/>
    <pivotField numFmtId="9" showAll="0"/>
    <pivotField dataField="1" numFmtId="166"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 count="3">
    <field x="15"/>
    <field x="14"/>
    <field x="1"/>
  </rowFields>
  <rowItems count="205">
    <i>
      <x v="1"/>
    </i>
    <i r="1">
      <x v="1"/>
    </i>
    <i r="2">
      <x/>
    </i>
    <i r="1">
      <x v="2"/>
    </i>
    <i r="2">
      <x v="1"/>
    </i>
    <i r="1">
      <x v="3"/>
    </i>
    <i r="2">
      <x v="2"/>
    </i>
    <i r="1">
      <x v="4"/>
    </i>
    <i r="2">
      <x v="3"/>
    </i>
    <i r="1">
      <x v="5"/>
    </i>
    <i r="2">
      <x v="4"/>
    </i>
    <i r="1">
      <x v="6"/>
    </i>
    <i r="2">
      <x v="5"/>
    </i>
    <i r="1">
      <x v="7"/>
    </i>
    <i r="2">
      <x v="6"/>
    </i>
    <i r="1">
      <x v="8"/>
    </i>
    <i r="2">
      <x v="7"/>
    </i>
    <i r="1">
      <x v="9"/>
    </i>
    <i r="2">
      <x v="8"/>
    </i>
    <i r="1">
      <x v="10"/>
    </i>
    <i r="2">
      <x v="9"/>
    </i>
    <i r="1">
      <x v="11"/>
    </i>
    <i r="2">
      <x v="10"/>
    </i>
    <i r="1">
      <x v="12"/>
    </i>
    <i r="2">
      <x v="11"/>
    </i>
    <i r="1">
      <x v="13"/>
    </i>
    <i r="2">
      <x v="12"/>
    </i>
    <i r="1">
      <x v="14"/>
    </i>
    <i r="2">
      <x v="13"/>
    </i>
    <i r="1">
      <x v="15"/>
    </i>
    <i r="2">
      <x v="14"/>
    </i>
    <i r="1">
      <x v="16"/>
    </i>
    <i r="2">
      <x v="15"/>
    </i>
    <i r="1">
      <x v="17"/>
    </i>
    <i r="2">
      <x v="16"/>
    </i>
    <i r="1">
      <x v="18"/>
    </i>
    <i r="2">
      <x v="17"/>
    </i>
    <i r="1">
      <x v="19"/>
    </i>
    <i r="2">
      <x v="18"/>
    </i>
    <i r="1">
      <x v="20"/>
    </i>
    <i r="2">
      <x v="19"/>
    </i>
    <i r="1">
      <x v="21"/>
    </i>
    <i r="2">
      <x v="20"/>
    </i>
    <i r="1">
      <x v="22"/>
    </i>
    <i r="2">
      <x v="21"/>
    </i>
    <i r="1">
      <x v="23"/>
    </i>
    <i r="2">
      <x v="22"/>
    </i>
    <i r="1">
      <x v="24"/>
    </i>
    <i r="2">
      <x v="23"/>
    </i>
    <i r="1">
      <x v="25"/>
    </i>
    <i r="2">
      <x v="24"/>
    </i>
    <i r="1">
      <x v="26"/>
    </i>
    <i r="2">
      <x v="25"/>
    </i>
    <i r="1">
      <x v="27"/>
    </i>
    <i r="2">
      <x v="26"/>
    </i>
    <i r="1">
      <x v="28"/>
    </i>
    <i r="2">
      <x v="27"/>
    </i>
    <i r="1">
      <x v="29"/>
    </i>
    <i r="2">
      <x v="28"/>
    </i>
    <i r="1">
      <x v="30"/>
    </i>
    <i r="2">
      <x v="29"/>
    </i>
    <i r="1">
      <x v="31"/>
    </i>
    <i r="2">
      <x v="30"/>
    </i>
    <i>
      <x v="2"/>
    </i>
    <i r="1">
      <x v="32"/>
    </i>
    <i r="2">
      <x v="31"/>
    </i>
    <i r="1">
      <x v="33"/>
    </i>
    <i r="2">
      <x v="32"/>
    </i>
    <i r="1">
      <x v="34"/>
    </i>
    <i r="2">
      <x v="33"/>
    </i>
    <i r="1">
      <x v="35"/>
    </i>
    <i r="2">
      <x v="34"/>
    </i>
    <i r="1">
      <x v="36"/>
    </i>
    <i r="2">
      <x v="35"/>
    </i>
    <i r="1">
      <x v="37"/>
    </i>
    <i r="2">
      <x v="36"/>
    </i>
    <i r="1">
      <x v="38"/>
    </i>
    <i r="2">
      <x v="37"/>
    </i>
    <i r="1">
      <x v="39"/>
    </i>
    <i r="2">
      <x v="38"/>
    </i>
    <i r="1">
      <x v="40"/>
    </i>
    <i r="2">
      <x v="39"/>
    </i>
    <i r="1">
      <x v="41"/>
    </i>
    <i r="2">
      <x v="40"/>
    </i>
    <i r="1">
      <x v="42"/>
    </i>
    <i r="2">
      <x v="41"/>
    </i>
    <i r="1">
      <x v="43"/>
    </i>
    <i r="2">
      <x v="42"/>
    </i>
    <i r="1">
      <x v="44"/>
    </i>
    <i r="2">
      <x v="43"/>
    </i>
    <i r="1">
      <x v="45"/>
    </i>
    <i r="2">
      <x v="44"/>
    </i>
    <i r="1">
      <x v="46"/>
    </i>
    <i r="2">
      <x v="45"/>
    </i>
    <i r="1">
      <x v="47"/>
    </i>
    <i r="2">
      <x v="46"/>
    </i>
    <i r="1">
      <x v="48"/>
    </i>
    <i r="2">
      <x v="47"/>
    </i>
    <i r="1">
      <x v="49"/>
    </i>
    <i r="2">
      <x v="48"/>
    </i>
    <i r="1">
      <x v="50"/>
    </i>
    <i r="2">
      <x v="49"/>
    </i>
    <i r="1">
      <x v="51"/>
    </i>
    <i r="2">
      <x v="50"/>
    </i>
    <i r="1">
      <x v="52"/>
    </i>
    <i r="2">
      <x v="51"/>
    </i>
    <i r="1">
      <x v="53"/>
    </i>
    <i r="2">
      <x v="52"/>
    </i>
    <i r="1">
      <x v="54"/>
    </i>
    <i r="2">
      <x v="53"/>
    </i>
    <i r="1">
      <x v="55"/>
    </i>
    <i r="2">
      <x v="54"/>
    </i>
    <i r="1">
      <x v="56"/>
    </i>
    <i r="2">
      <x v="55"/>
    </i>
    <i r="1">
      <x v="57"/>
    </i>
    <i r="2">
      <x v="56"/>
    </i>
    <i r="1">
      <x v="58"/>
    </i>
    <i r="2">
      <x v="57"/>
    </i>
    <i r="1">
      <x v="59"/>
    </i>
    <i r="2">
      <x v="58"/>
    </i>
    <i>
      <x v="3"/>
    </i>
    <i r="1">
      <x v="61"/>
    </i>
    <i r="2">
      <x v="59"/>
    </i>
    <i r="1">
      <x v="62"/>
    </i>
    <i r="2">
      <x v="60"/>
    </i>
    <i r="1">
      <x v="63"/>
    </i>
    <i r="2">
      <x v="61"/>
    </i>
    <i r="1">
      <x v="64"/>
    </i>
    <i r="2">
      <x v="62"/>
    </i>
    <i r="1">
      <x v="65"/>
    </i>
    <i r="2">
      <x v="63"/>
    </i>
    <i r="1">
      <x v="66"/>
    </i>
    <i r="2">
      <x v="64"/>
    </i>
    <i r="1">
      <x v="67"/>
    </i>
    <i r="2">
      <x v="65"/>
    </i>
    <i r="1">
      <x v="68"/>
    </i>
    <i r="2">
      <x v="66"/>
    </i>
    <i r="1">
      <x v="69"/>
    </i>
    <i r="2">
      <x v="67"/>
    </i>
    <i r="1">
      <x v="70"/>
    </i>
    <i r="2">
      <x v="68"/>
    </i>
    <i r="1">
      <x v="71"/>
    </i>
    <i r="2">
      <x v="69"/>
    </i>
    <i r="1">
      <x v="72"/>
    </i>
    <i r="2">
      <x v="70"/>
    </i>
    <i r="1">
      <x v="73"/>
    </i>
    <i r="2">
      <x v="71"/>
    </i>
    <i r="1">
      <x v="74"/>
    </i>
    <i r="2">
      <x v="72"/>
    </i>
    <i r="1">
      <x v="75"/>
    </i>
    <i r="2">
      <x v="73"/>
    </i>
    <i r="1">
      <x v="76"/>
    </i>
    <i r="2">
      <x v="74"/>
    </i>
    <i r="1">
      <x v="77"/>
    </i>
    <i r="2">
      <x v="75"/>
    </i>
    <i r="1">
      <x v="78"/>
    </i>
    <i r="2">
      <x v="76"/>
    </i>
    <i r="1">
      <x v="79"/>
    </i>
    <i r="2">
      <x v="77"/>
    </i>
    <i r="1">
      <x v="80"/>
    </i>
    <i r="2">
      <x v="78"/>
    </i>
    <i r="1">
      <x v="81"/>
    </i>
    <i r="2">
      <x v="79"/>
    </i>
    <i r="1">
      <x v="82"/>
    </i>
    <i r="2">
      <x v="80"/>
    </i>
    <i r="1">
      <x v="83"/>
    </i>
    <i r="2">
      <x v="81"/>
    </i>
    <i r="1">
      <x v="84"/>
    </i>
    <i r="2">
      <x v="82"/>
    </i>
    <i r="1">
      <x v="85"/>
    </i>
    <i r="2">
      <x v="83"/>
    </i>
    <i r="1">
      <x v="86"/>
    </i>
    <i r="2">
      <x v="84"/>
    </i>
    <i r="1">
      <x v="87"/>
    </i>
    <i r="2">
      <x v="85"/>
    </i>
    <i r="1">
      <x v="88"/>
    </i>
    <i r="2">
      <x v="86"/>
    </i>
    <i r="1">
      <x v="89"/>
    </i>
    <i r="2">
      <x v="87"/>
    </i>
    <i r="1">
      <x v="90"/>
    </i>
    <i r="2">
      <x v="88"/>
    </i>
    <i r="1">
      <x v="91"/>
    </i>
    <i r="2">
      <x v="89"/>
    </i>
    <i>
      <x v="4"/>
    </i>
    <i r="1">
      <x v="92"/>
    </i>
    <i r="2">
      <x v="90"/>
    </i>
    <i r="1">
      <x v="93"/>
    </i>
    <i r="2">
      <x v="91"/>
    </i>
    <i r="1">
      <x v="94"/>
    </i>
    <i r="2">
      <x v="92"/>
    </i>
    <i r="1">
      <x v="95"/>
    </i>
    <i r="2">
      <x v="93"/>
    </i>
    <i r="1">
      <x v="96"/>
    </i>
    <i r="2">
      <x v="94"/>
    </i>
    <i r="1">
      <x v="97"/>
    </i>
    <i r="2">
      <x v="95"/>
    </i>
    <i r="1">
      <x v="98"/>
    </i>
    <i r="2">
      <x v="96"/>
    </i>
    <i r="1">
      <x v="99"/>
    </i>
    <i r="2">
      <x v="97"/>
    </i>
    <i r="1">
      <x v="100"/>
    </i>
    <i r="2">
      <x v="98"/>
    </i>
    <i r="1">
      <x v="101"/>
    </i>
    <i r="2">
      <x v="99"/>
    </i>
    <i t="grand">
      <x/>
    </i>
  </rowItems>
  <colItems count="1">
    <i/>
  </colItems>
  <dataFields count="1">
    <dataField name="Sum of Final Sales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5ABCF-93E4-4469-B7E1-CA3BAFB73E1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6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4" showAll="0"/>
    <pivotField numFmtId="3" showAll="0"/>
    <pivotField numFmtId="9" showAll="0"/>
    <pivotField dataField="1" numFmtId="166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Final Sales2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98E65-D04D-4BF5-B736-83EB79BF0635}" name="Table2" displayName="Table2" ref="A1:N101" totalsRowShown="0" headerRowDxfId="15" dataDxfId="14">
  <autoFilter ref="A1:N101" xr:uid="{EC098E65-D04D-4BF5-B736-83EB79BF0635}"/>
  <tableColumns count="14">
    <tableColumn id="1" xr3:uid="{09126AE3-DFDD-4BD1-8064-40635B521D71}" name="Order ID" dataDxfId="13"/>
    <tableColumn id="2" xr3:uid="{8DA387C2-0032-4F6E-8899-86E251405F44}" name="Date" dataDxfId="12"/>
    <tableColumn id="3" xr3:uid="{E2446E01-84B5-420F-8E41-848A7357D1D4}" name="Product" dataDxfId="11"/>
    <tableColumn id="4" xr3:uid="{7F4E3E85-C008-4E85-847B-5312546780FE}" name="Category" dataDxfId="10"/>
    <tableColumn id="5" xr3:uid="{96C42D4B-6AA5-4550-A650-2F3AE3A21730}" name="Region" dataDxfId="9"/>
    <tableColumn id="6" xr3:uid="{9D02CE53-9596-4109-90D2-5E7AB3690610}" name="Quantity" dataDxfId="8"/>
    <tableColumn id="7" xr3:uid="{44C07549-E23B-47FA-BA8B-38BAB69F6F5E}" name="Unit Price" dataDxfId="7"/>
    <tableColumn id="8" xr3:uid="{31CB69B5-2800-40A2-8E77-5AE006577D2C}" name="Sales" dataDxfId="6">
      <calculatedColumnFormula>F2*G2</calculatedColumnFormula>
    </tableColumn>
    <tableColumn id="9" xr3:uid="{87C114A5-C196-4B5A-8B13-A1A7B2695C51}" name="Discount" dataDxfId="5"/>
    <tableColumn id="10" xr3:uid="{E4D73709-AE01-4AEC-A4F8-29EC979FD36C}" name="Final Sales" dataDxfId="4">
      <calculatedColumnFormula>H2-(H2*I2)</calculatedColumnFormula>
    </tableColumn>
    <tableColumn id="11" xr3:uid="{F53C5A90-6367-4973-AE8B-20D736238337}" name="Sales Status" dataDxfId="3">
      <calculatedColumnFormula>IF(J2&gt;=50000,"High",IF(J2&gt;=25000,"Medium","Low"))</calculatedColumnFormula>
    </tableColumn>
    <tableColumn id="13" xr3:uid="{3491E5C4-8804-45E1-BF03-06375D868462}" name="Review" dataDxfId="2"/>
    <tableColumn id="14" xr3:uid="{7556C1F0-FF1E-47DB-9626-8D2C04FC18B3}" name="Column1" dataDxfId="1"/>
    <tableColumn id="15" xr3:uid="{509227D2-2BD5-4DEC-AA9A-25DDE45D871E}" name="Column2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033D-01CF-498E-8CD8-D918D8336203}">
  <dimension ref="A3:B8"/>
  <sheetViews>
    <sheetView topLeftCell="C1"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14" t="s">
        <v>129</v>
      </c>
      <c r="B3" t="s">
        <v>131</v>
      </c>
    </row>
    <row r="4" spans="1:2" x14ac:dyDescent="0.3">
      <c r="A4" s="15" t="s">
        <v>18</v>
      </c>
      <c r="B4" s="16">
        <v>340681.5</v>
      </c>
    </row>
    <row r="5" spans="1:2" x14ac:dyDescent="0.3">
      <c r="A5" s="15" t="s">
        <v>24</v>
      </c>
      <c r="B5" s="16">
        <v>361559</v>
      </c>
    </row>
    <row r="6" spans="1:2" x14ac:dyDescent="0.3">
      <c r="A6" s="15" t="s">
        <v>14</v>
      </c>
      <c r="B6" s="16">
        <v>1030378</v>
      </c>
    </row>
    <row r="7" spans="1:2" x14ac:dyDescent="0.3">
      <c r="A7" s="15" t="s">
        <v>21</v>
      </c>
      <c r="B7" s="16">
        <v>979681.5</v>
      </c>
    </row>
    <row r="8" spans="1:2" x14ac:dyDescent="0.3">
      <c r="A8" s="15" t="s">
        <v>130</v>
      </c>
      <c r="B8" s="16">
        <v>2712300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73A-6446-4C0B-A8E5-0A740BE9CFD2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14" t="s">
        <v>129</v>
      </c>
      <c r="B3" t="s">
        <v>131</v>
      </c>
    </row>
    <row r="4" spans="1:2" x14ac:dyDescent="0.3">
      <c r="A4" s="15" t="s">
        <v>28</v>
      </c>
      <c r="B4" s="16">
        <v>207990</v>
      </c>
    </row>
    <row r="5" spans="1:2" x14ac:dyDescent="0.3">
      <c r="A5" s="15" t="s">
        <v>20</v>
      </c>
      <c r="B5" s="16">
        <v>106744.5</v>
      </c>
    </row>
    <row r="6" spans="1:2" x14ac:dyDescent="0.3">
      <c r="A6" s="15" t="s">
        <v>12</v>
      </c>
      <c r="B6" s="16">
        <v>1471825</v>
      </c>
    </row>
    <row r="7" spans="1:2" x14ac:dyDescent="0.3">
      <c r="A7" s="15" t="s">
        <v>23</v>
      </c>
      <c r="B7" s="16">
        <v>400585</v>
      </c>
    </row>
    <row r="8" spans="1:2" x14ac:dyDescent="0.3">
      <c r="A8" s="15" t="s">
        <v>26</v>
      </c>
      <c r="B8" s="16">
        <v>431490</v>
      </c>
    </row>
    <row r="9" spans="1:2" x14ac:dyDescent="0.3">
      <c r="A9" s="15" t="s">
        <v>130</v>
      </c>
      <c r="B9" s="16">
        <v>2618634.5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CA6A-3D59-4E07-B974-C854A329595D}">
  <dimension ref="A3:B208"/>
  <sheetViews>
    <sheetView topLeftCell="A5" workbookViewId="0">
      <selection activeCell="L14" sqref="L14"/>
    </sheetView>
  </sheetViews>
  <sheetFormatPr defaultRowHeight="14.4" x14ac:dyDescent="0.3"/>
  <cols>
    <col min="1" max="1" width="16.44140625" bestFit="1" customWidth="1"/>
    <col min="2" max="2" width="16.109375" bestFit="1" customWidth="1"/>
  </cols>
  <sheetData>
    <row r="3" spans="1:2" x14ac:dyDescent="0.3">
      <c r="A3" s="14" t="s">
        <v>129</v>
      </c>
      <c r="B3" t="s">
        <v>131</v>
      </c>
    </row>
    <row r="4" spans="1:2" x14ac:dyDescent="0.3">
      <c r="A4" s="15" t="s">
        <v>132</v>
      </c>
      <c r="B4" s="16">
        <v>868942.5</v>
      </c>
    </row>
    <row r="5" spans="1:2" x14ac:dyDescent="0.3">
      <c r="A5" s="17" t="s">
        <v>136</v>
      </c>
      <c r="B5" s="16">
        <v>95000</v>
      </c>
    </row>
    <row r="6" spans="1:2" x14ac:dyDescent="0.3">
      <c r="A6" s="18">
        <v>46023</v>
      </c>
      <c r="B6" s="16">
        <v>95000</v>
      </c>
    </row>
    <row r="7" spans="1:2" x14ac:dyDescent="0.3">
      <c r="A7" s="17" t="s">
        <v>137</v>
      </c>
      <c r="B7" s="16">
        <v>3600</v>
      </c>
    </row>
    <row r="8" spans="1:2" x14ac:dyDescent="0.3">
      <c r="A8" s="18">
        <v>46024</v>
      </c>
      <c r="B8" s="16">
        <v>3600</v>
      </c>
    </row>
    <row r="9" spans="1:2" x14ac:dyDescent="0.3">
      <c r="A9" s="17" t="s">
        <v>138</v>
      </c>
      <c r="B9" s="16">
        <v>4275</v>
      </c>
    </row>
    <row r="10" spans="1:2" x14ac:dyDescent="0.3">
      <c r="A10" s="18">
        <v>46025</v>
      </c>
      <c r="B10" s="16">
        <v>4275</v>
      </c>
    </row>
    <row r="11" spans="1:2" x14ac:dyDescent="0.3">
      <c r="A11" s="17" t="s">
        <v>139</v>
      </c>
      <c r="B11" s="16">
        <v>21600</v>
      </c>
    </row>
    <row r="12" spans="1:2" x14ac:dyDescent="0.3">
      <c r="A12" s="18">
        <v>46026</v>
      </c>
      <c r="B12" s="16">
        <v>21600</v>
      </c>
    </row>
    <row r="13" spans="1:2" x14ac:dyDescent="0.3">
      <c r="A13" s="17" t="s">
        <v>140</v>
      </c>
      <c r="B13" s="16">
        <v>14250</v>
      </c>
    </row>
    <row r="14" spans="1:2" x14ac:dyDescent="0.3">
      <c r="A14" s="18">
        <v>46027</v>
      </c>
      <c r="B14" s="16">
        <v>14250</v>
      </c>
    </row>
    <row r="15" spans="1:2" x14ac:dyDescent="0.3">
      <c r="A15" s="17" t="s">
        <v>141</v>
      </c>
      <c r="B15" s="16">
        <v>8500</v>
      </c>
    </row>
    <row r="16" spans="1:2" x14ac:dyDescent="0.3">
      <c r="A16" s="18">
        <v>46028</v>
      </c>
      <c r="B16" s="16">
        <v>8500</v>
      </c>
    </row>
    <row r="17" spans="1:2" x14ac:dyDescent="0.3">
      <c r="A17" s="17" t="s">
        <v>142</v>
      </c>
      <c r="B17" s="16">
        <v>49500</v>
      </c>
    </row>
    <row r="18" spans="1:2" x14ac:dyDescent="0.3">
      <c r="A18" s="18">
        <v>46029</v>
      </c>
      <c r="B18" s="16">
        <v>49500</v>
      </c>
    </row>
    <row r="19" spans="1:2" x14ac:dyDescent="0.3">
      <c r="A19" s="17" t="s">
        <v>143</v>
      </c>
      <c r="B19" s="16">
        <v>5700</v>
      </c>
    </row>
    <row r="20" spans="1:2" x14ac:dyDescent="0.3">
      <c r="A20" s="18">
        <v>46030</v>
      </c>
      <c r="B20" s="16">
        <v>5700</v>
      </c>
    </row>
    <row r="21" spans="1:2" x14ac:dyDescent="0.3">
      <c r="A21" s="17" t="s">
        <v>144</v>
      </c>
      <c r="B21" s="16">
        <v>6480</v>
      </c>
    </row>
    <row r="22" spans="1:2" x14ac:dyDescent="0.3">
      <c r="A22" s="18">
        <v>46031</v>
      </c>
      <c r="B22" s="16">
        <v>6480</v>
      </c>
    </row>
    <row r="23" spans="1:2" x14ac:dyDescent="0.3">
      <c r="A23" s="17" t="s">
        <v>145</v>
      </c>
      <c r="B23" s="16">
        <v>31350</v>
      </c>
    </row>
    <row r="24" spans="1:2" x14ac:dyDescent="0.3">
      <c r="A24" s="18">
        <v>46032</v>
      </c>
      <c r="B24" s="16">
        <v>31350</v>
      </c>
    </row>
    <row r="25" spans="1:2" x14ac:dyDescent="0.3">
      <c r="A25" s="17" t="s">
        <v>146</v>
      </c>
      <c r="B25" s="16">
        <v>25200</v>
      </c>
    </row>
    <row r="26" spans="1:2" x14ac:dyDescent="0.3">
      <c r="A26" s="18">
        <v>46033</v>
      </c>
      <c r="B26" s="16">
        <v>25200</v>
      </c>
    </row>
    <row r="27" spans="1:2" x14ac:dyDescent="0.3">
      <c r="A27" s="17" t="s">
        <v>147</v>
      </c>
      <c r="B27" s="16">
        <v>10450</v>
      </c>
    </row>
    <row r="28" spans="1:2" x14ac:dyDescent="0.3">
      <c r="A28" s="18">
        <v>46034</v>
      </c>
      <c r="B28" s="16">
        <v>10450</v>
      </c>
    </row>
    <row r="29" spans="1:2" x14ac:dyDescent="0.3">
      <c r="A29" s="17" t="s">
        <v>148</v>
      </c>
      <c r="B29" s="16">
        <v>132600</v>
      </c>
    </row>
    <row r="30" spans="1:2" x14ac:dyDescent="0.3">
      <c r="A30" s="18">
        <v>46035</v>
      </c>
      <c r="B30" s="16">
        <v>132600</v>
      </c>
    </row>
    <row r="31" spans="1:2" x14ac:dyDescent="0.3">
      <c r="A31" s="17" t="s">
        <v>149</v>
      </c>
      <c r="B31" s="16">
        <v>7650</v>
      </c>
    </row>
    <row r="32" spans="1:2" x14ac:dyDescent="0.3">
      <c r="A32" s="18">
        <v>46036</v>
      </c>
      <c r="B32" s="16">
        <v>7650</v>
      </c>
    </row>
    <row r="33" spans="1:2" x14ac:dyDescent="0.3">
      <c r="A33" s="17" t="s">
        <v>150</v>
      </c>
      <c r="B33" s="16">
        <v>6080</v>
      </c>
    </row>
    <row r="34" spans="1:2" x14ac:dyDescent="0.3">
      <c r="A34" s="18">
        <v>46037</v>
      </c>
      <c r="B34" s="16">
        <v>6080</v>
      </c>
    </row>
    <row r="35" spans="1:2" x14ac:dyDescent="0.3">
      <c r="A35" s="17" t="s">
        <v>151</v>
      </c>
      <c r="B35" s="16">
        <v>22500</v>
      </c>
    </row>
    <row r="36" spans="1:2" x14ac:dyDescent="0.3">
      <c r="A36" s="18">
        <v>46038</v>
      </c>
      <c r="B36" s="16">
        <v>22500</v>
      </c>
    </row>
    <row r="37" spans="1:2" x14ac:dyDescent="0.3">
      <c r="A37" s="17" t="s">
        <v>152</v>
      </c>
      <c r="B37" s="16">
        <v>44175</v>
      </c>
    </row>
    <row r="38" spans="1:2" x14ac:dyDescent="0.3">
      <c r="A38" s="18">
        <v>46039</v>
      </c>
      <c r="B38" s="16">
        <v>44175</v>
      </c>
    </row>
    <row r="39" spans="1:2" x14ac:dyDescent="0.3">
      <c r="A39" s="17" t="s">
        <v>153</v>
      </c>
      <c r="B39" s="16">
        <v>16660</v>
      </c>
    </row>
    <row r="40" spans="1:2" x14ac:dyDescent="0.3">
      <c r="A40" s="18">
        <v>46040</v>
      </c>
      <c r="B40" s="16">
        <v>16660</v>
      </c>
    </row>
    <row r="41" spans="1:2" x14ac:dyDescent="0.3">
      <c r="A41" s="17" t="s">
        <v>154</v>
      </c>
      <c r="B41" s="16">
        <v>86400</v>
      </c>
    </row>
    <row r="42" spans="1:2" x14ac:dyDescent="0.3">
      <c r="A42" s="18">
        <v>46041</v>
      </c>
      <c r="B42" s="16">
        <v>86400</v>
      </c>
    </row>
    <row r="43" spans="1:2" x14ac:dyDescent="0.3">
      <c r="A43" s="17" t="s">
        <v>155</v>
      </c>
      <c r="B43" s="16">
        <v>5130</v>
      </c>
    </row>
    <row r="44" spans="1:2" x14ac:dyDescent="0.3">
      <c r="A44" s="18">
        <v>46042</v>
      </c>
      <c r="B44" s="16">
        <v>5130</v>
      </c>
    </row>
    <row r="45" spans="1:2" x14ac:dyDescent="0.3">
      <c r="A45" s="17" t="s">
        <v>156</v>
      </c>
      <c r="B45" s="16">
        <v>6300</v>
      </c>
    </row>
    <row r="46" spans="1:2" x14ac:dyDescent="0.3">
      <c r="A46" s="18">
        <v>46043</v>
      </c>
      <c r="B46" s="16">
        <v>6300</v>
      </c>
    </row>
    <row r="47" spans="1:2" x14ac:dyDescent="0.3">
      <c r="A47" s="17" t="s">
        <v>157</v>
      </c>
      <c r="B47" s="16">
        <v>12350</v>
      </c>
    </row>
    <row r="48" spans="1:2" x14ac:dyDescent="0.3">
      <c r="A48" s="18">
        <v>46044</v>
      </c>
      <c r="B48" s="16">
        <v>12350</v>
      </c>
    </row>
    <row r="49" spans="1:2" x14ac:dyDescent="0.3">
      <c r="A49" s="17" t="s">
        <v>158</v>
      </c>
      <c r="B49" s="16">
        <v>28800</v>
      </c>
    </row>
    <row r="50" spans="1:2" x14ac:dyDescent="0.3">
      <c r="A50" s="18">
        <v>46045</v>
      </c>
      <c r="B50" s="16">
        <v>28800</v>
      </c>
    </row>
    <row r="51" spans="1:2" x14ac:dyDescent="0.3">
      <c r="A51" s="17" t="s">
        <v>159</v>
      </c>
      <c r="B51" s="16">
        <v>9880</v>
      </c>
    </row>
    <row r="52" spans="1:2" x14ac:dyDescent="0.3">
      <c r="A52" s="18">
        <v>46046</v>
      </c>
      <c r="B52" s="16">
        <v>9880</v>
      </c>
    </row>
    <row r="53" spans="1:2" x14ac:dyDescent="0.3">
      <c r="A53" s="17" t="s">
        <v>160</v>
      </c>
      <c r="B53" s="16">
        <v>51000</v>
      </c>
    </row>
    <row r="54" spans="1:2" x14ac:dyDescent="0.3">
      <c r="A54" s="18">
        <v>46047</v>
      </c>
      <c r="B54" s="16">
        <v>51000</v>
      </c>
    </row>
    <row r="55" spans="1:2" x14ac:dyDescent="0.3">
      <c r="A55" s="17" t="s">
        <v>161</v>
      </c>
      <c r="B55" s="16">
        <v>5670</v>
      </c>
    </row>
    <row r="56" spans="1:2" x14ac:dyDescent="0.3">
      <c r="A56" s="18">
        <v>46048</v>
      </c>
      <c r="B56" s="16">
        <v>5670</v>
      </c>
    </row>
    <row r="57" spans="1:2" x14ac:dyDescent="0.3">
      <c r="A57" s="17" t="s">
        <v>162</v>
      </c>
      <c r="B57" s="16">
        <v>8977.5</v>
      </c>
    </row>
    <row r="58" spans="1:2" x14ac:dyDescent="0.3">
      <c r="A58" s="18">
        <v>46049</v>
      </c>
      <c r="B58" s="16">
        <v>8977.5</v>
      </c>
    </row>
    <row r="59" spans="1:2" x14ac:dyDescent="0.3">
      <c r="A59" s="17" t="s">
        <v>163</v>
      </c>
      <c r="B59" s="16">
        <v>31050</v>
      </c>
    </row>
    <row r="60" spans="1:2" x14ac:dyDescent="0.3">
      <c r="A60" s="18">
        <v>46050</v>
      </c>
      <c r="B60" s="16">
        <v>31050</v>
      </c>
    </row>
    <row r="61" spans="1:2" x14ac:dyDescent="0.3">
      <c r="A61" s="17" t="s">
        <v>164</v>
      </c>
      <c r="B61" s="16">
        <v>13775</v>
      </c>
    </row>
    <row r="62" spans="1:2" x14ac:dyDescent="0.3">
      <c r="A62" s="18">
        <v>46051</v>
      </c>
      <c r="B62" s="16">
        <v>13775</v>
      </c>
    </row>
    <row r="63" spans="1:2" x14ac:dyDescent="0.3">
      <c r="A63" s="17" t="s">
        <v>165</v>
      </c>
      <c r="B63" s="16">
        <v>12240</v>
      </c>
    </row>
    <row r="64" spans="1:2" x14ac:dyDescent="0.3">
      <c r="A64" s="18">
        <v>46052</v>
      </c>
      <c r="B64" s="16">
        <v>12240</v>
      </c>
    </row>
    <row r="65" spans="1:2" x14ac:dyDescent="0.3">
      <c r="A65" s="17" t="s">
        <v>166</v>
      </c>
      <c r="B65" s="16">
        <v>91800</v>
      </c>
    </row>
    <row r="66" spans="1:2" x14ac:dyDescent="0.3">
      <c r="A66" s="18">
        <v>46053</v>
      </c>
      <c r="B66" s="16">
        <v>91800</v>
      </c>
    </row>
    <row r="67" spans="1:2" x14ac:dyDescent="0.3">
      <c r="A67" s="15" t="s">
        <v>133</v>
      </c>
      <c r="B67" s="16">
        <v>738879.5</v>
      </c>
    </row>
    <row r="68" spans="1:2" x14ac:dyDescent="0.3">
      <c r="A68" s="17" t="s">
        <v>167</v>
      </c>
      <c r="B68" s="16">
        <v>3895</v>
      </c>
    </row>
    <row r="69" spans="1:2" x14ac:dyDescent="0.3">
      <c r="A69" s="18">
        <v>46054</v>
      </c>
      <c r="B69" s="16">
        <v>3895</v>
      </c>
    </row>
    <row r="70" spans="1:2" x14ac:dyDescent="0.3">
      <c r="A70" s="17" t="s">
        <v>168</v>
      </c>
      <c r="B70" s="16">
        <v>4185</v>
      </c>
    </row>
    <row r="71" spans="1:2" x14ac:dyDescent="0.3">
      <c r="A71" s="18">
        <v>46055</v>
      </c>
      <c r="B71" s="16">
        <v>4185</v>
      </c>
    </row>
    <row r="72" spans="1:2" x14ac:dyDescent="0.3">
      <c r="A72" s="17" t="s">
        <v>169</v>
      </c>
      <c r="B72" s="16">
        <v>22420</v>
      </c>
    </row>
    <row r="73" spans="1:2" x14ac:dyDescent="0.3">
      <c r="A73" s="18">
        <v>46056</v>
      </c>
      <c r="B73" s="16">
        <v>22420</v>
      </c>
    </row>
    <row r="74" spans="1:2" x14ac:dyDescent="0.3">
      <c r="A74" s="17" t="s">
        <v>170</v>
      </c>
      <c r="B74" s="16">
        <v>40500</v>
      </c>
    </row>
    <row r="75" spans="1:2" x14ac:dyDescent="0.3">
      <c r="A75" s="18">
        <v>46057</v>
      </c>
      <c r="B75" s="16">
        <v>40500</v>
      </c>
    </row>
    <row r="76" spans="1:2" x14ac:dyDescent="0.3">
      <c r="A76" s="17" t="s">
        <v>171</v>
      </c>
      <c r="B76" s="16">
        <v>17480</v>
      </c>
    </row>
    <row r="77" spans="1:2" x14ac:dyDescent="0.3">
      <c r="A77" s="18">
        <v>46058</v>
      </c>
      <c r="B77" s="16">
        <v>17480</v>
      </c>
    </row>
    <row r="78" spans="1:2" x14ac:dyDescent="0.3">
      <c r="A78" s="17" t="s">
        <v>172</v>
      </c>
      <c r="B78" s="16">
        <v>90100</v>
      </c>
    </row>
    <row r="79" spans="1:2" x14ac:dyDescent="0.3">
      <c r="A79" s="18">
        <v>46059</v>
      </c>
      <c r="B79" s="16">
        <v>90100</v>
      </c>
    </row>
    <row r="80" spans="1:2" x14ac:dyDescent="0.3">
      <c r="A80" s="17" t="s">
        <v>173</v>
      </c>
      <c r="B80" s="16">
        <v>4914</v>
      </c>
    </row>
    <row r="81" spans="1:2" x14ac:dyDescent="0.3">
      <c r="A81" s="18">
        <v>46060</v>
      </c>
      <c r="B81" s="16">
        <v>4914</v>
      </c>
    </row>
    <row r="82" spans="1:2" x14ac:dyDescent="0.3">
      <c r="A82" s="17" t="s">
        <v>174</v>
      </c>
      <c r="B82" s="16">
        <v>6887.5</v>
      </c>
    </row>
    <row r="83" spans="1:2" x14ac:dyDescent="0.3">
      <c r="A83" s="18">
        <v>46061</v>
      </c>
      <c r="B83" s="16">
        <v>6887.5</v>
      </c>
    </row>
    <row r="84" spans="1:2" x14ac:dyDescent="0.3">
      <c r="A84" s="17" t="s">
        <v>175</v>
      </c>
      <c r="B84" s="16">
        <v>10980</v>
      </c>
    </row>
    <row r="85" spans="1:2" x14ac:dyDescent="0.3">
      <c r="A85" s="18">
        <v>46062</v>
      </c>
      <c r="B85" s="16">
        <v>10980</v>
      </c>
    </row>
    <row r="86" spans="1:2" x14ac:dyDescent="0.3">
      <c r="A86" s="17" t="s">
        <v>176</v>
      </c>
      <c r="B86" s="16">
        <v>28880</v>
      </c>
    </row>
    <row r="87" spans="1:2" x14ac:dyDescent="0.3">
      <c r="A87" s="18">
        <v>46063</v>
      </c>
      <c r="B87" s="16">
        <v>28880</v>
      </c>
    </row>
    <row r="88" spans="1:2" x14ac:dyDescent="0.3">
      <c r="A88" s="17" t="s">
        <v>177</v>
      </c>
      <c r="B88" s="16">
        <v>11475</v>
      </c>
    </row>
    <row r="89" spans="1:2" x14ac:dyDescent="0.3">
      <c r="A89" s="18">
        <v>46064</v>
      </c>
      <c r="B89" s="16">
        <v>11475</v>
      </c>
    </row>
    <row r="90" spans="1:2" x14ac:dyDescent="0.3">
      <c r="A90" s="17" t="s">
        <v>178</v>
      </c>
      <c r="B90" s="16">
        <v>132300</v>
      </c>
    </row>
    <row r="91" spans="1:2" x14ac:dyDescent="0.3">
      <c r="A91" s="18">
        <v>46065</v>
      </c>
      <c r="B91" s="16">
        <v>132300</v>
      </c>
    </row>
    <row r="92" spans="1:2" x14ac:dyDescent="0.3">
      <c r="A92" s="17" t="s">
        <v>179</v>
      </c>
      <c r="B92" s="16">
        <v>6536</v>
      </c>
    </row>
    <row r="93" spans="1:2" x14ac:dyDescent="0.3">
      <c r="A93" s="18">
        <v>46066</v>
      </c>
      <c r="B93" s="16">
        <v>6536</v>
      </c>
    </row>
    <row r="94" spans="1:2" x14ac:dyDescent="0.3">
      <c r="A94" s="17" t="s">
        <v>180</v>
      </c>
      <c r="B94" s="16">
        <v>4680</v>
      </c>
    </row>
    <row r="95" spans="1:2" x14ac:dyDescent="0.3">
      <c r="A95" s="18">
        <v>46067</v>
      </c>
      <c r="B95" s="16">
        <v>4680</v>
      </c>
    </row>
    <row r="96" spans="1:2" x14ac:dyDescent="0.3">
      <c r="A96" s="17" t="s">
        <v>181</v>
      </c>
      <c r="B96" s="16">
        <v>24320</v>
      </c>
    </row>
    <row r="97" spans="1:2" x14ac:dyDescent="0.3">
      <c r="A97" s="18">
        <v>46068</v>
      </c>
      <c r="B97" s="16">
        <v>24320</v>
      </c>
    </row>
    <row r="98" spans="1:2" x14ac:dyDescent="0.3">
      <c r="A98" s="17" t="s">
        <v>182</v>
      </c>
      <c r="B98" s="16">
        <v>13320</v>
      </c>
    </row>
    <row r="99" spans="1:2" x14ac:dyDescent="0.3">
      <c r="A99" s="18">
        <v>46069</v>
      </c>
      <c r="B99" s="16">
        <v>13320</v>
      </c>
    </row>
    <row r="100" spans="1:2" x14ac:dyDescent="0.3">
      <c r="A100" s="17" t="s">
        <v>183</v>
      </c>
      <c r="B100" s="16">
        <v>14250</v>
      </c>
    </row>
    <row r="101" spans="1:2" x14ac:dyDescent="0.3">
      <c r="A101" s="18">
        <v>46070</v>
      </c>
      <c r="B101" s="16">
        <v>14250</v>
      </c>
    </row>
    <row r="102" spans="1:2" x14ac:dyDescent="0.3">
      <c r="A102" s="17" t="s">
        <v>184</v>
      </c>
      <c r="B102" s="16">
        <v>91800</v>
      </c>
    </row>
    <row r="103" spans="1:2" x14ac:dyDescent="0.3">
      <c r="A103" s="18">
        <v>46071</v>
      </c>
      <c r="B103" s="16">
        <v>91800</v>
      </c>
    </row>
    <row r="104" spans="1:2" x14ac:dyDescent="0.3">
      <c r="A104" s="17" t="s">
        <v>185</v>
      </c>
      <c r="B104" s="16">
        <v>6480</v>
      </c>
    </row>
    <row r="105" spans="1:2" x14ac:dyDescent="0.3">
      <c r="A105" s="18">
        <v>46072</v>
      </c>
      <c r="B105" s="16">
        <v>6480</v>
      </c>
    </row>
    <row r="106" spans="1:2" x14ac:dyDescent="0.3">
      <c r="A106" s="17" t="s">
        <v>186</v>
      </c>
      <c r="B106" s="16">
        <v>8550</v>
      </c>
    </row>
    <row r="107" spans="1:2" x14ac:dyDescent="0.3">
      <c r="A107" s="18">
        <v>46073</v>
      </c>
      <c r="B107" s="16">
        <v>8550</v>
      </c>
    </row>
    <row r="108" spans="1:2" x14ac:dyDescent="0.3">
      <c r="A108" s="17" t="s">
        <v>187</v>
      </c>
      <c r="B108" s="16">
        <v>31320</v>
      </c>
    </row>
    <row r="109" spans="1:2" x14ac:dyDescent="0.3">
      <c r="A109" s="18">
        <v>46074</v>
      </c>
      <c r="B109" s="16">
        <v>31320</v>
      </c>
    </row>
    <row r="110" spans="1:2" x14ac:dyDescent="0.3">
      <c r="A110" s="17" t="s">
        <v>188</v>
      </c>
      <c r="B110" s="16">
        <v>30020</v>
      </c>
    </row>
    <row r="111" spans="1:2" x14ac:dyDescent="0.3">
      <c r="A111" s="18">
        <v>46075</v>
      </c>
      <c r="B111" s="16">
        <v>30020</v>
      </c>
    </row>
    <row r="112" spans="1:2" x14ac:dyDescent="0.3">
      <c r="A112" s="17" t="s">
        <v>189</v>
      </c>
      <c r="B112" s="16">
        <v>9860</v>
      </c>
    </row>
    <row r="113" spans="1:2" x14ac:dyDescent="0.3">
      <c r="A113" s="18">
        <v>46076</v>
      </c>
      <c r="B113" s="16">
        <v>9860</v>
      </c>
    </row>
    <row r="114" spans="1:2" x14ac:dyDescent="0.3">
      <c r="A114" s="17" t="s">
        <v>190</v>
      </c>
      <c r="B114" s="16">
        <v>51300</v>
      </c>
    </row>
    <row r="115" spans="1:2" x14ac:dyDescent="0.3">
      <c r="A115" s="18">
        <v>46077</v>
      </c>
      <c r="B115" s="16">
        <v>51300</v>
      </c>
    </row>
    <row r="116" spans="1:2" x14ac:dyDescent="0.3">
      <c r="A116" s="17" t="s">
        <v>191</v>
      </c>
      <c r="B116" s="16">
        <v>5852</v>
      </c>
    </row>
    <row r="117" spans="1:2" x14ac:dyDescent="0.3">
      <c r="A117" s="18">
        <v>46078</v>
      </c>
      <c r="B117" s="16">
        <v>5852</v>
      </c>
    </row>
    <row r="118" spans="1:2" x14ac:dyDescent="0.3">
      <c r="A118" s="17" t="s">
        <v>192</v>
      </c>
      <c r="B118" s="16">
        <v>5625</v>
      </c>
    </row>
    <row r="119" spans="1:2" x14ac:dyDescent="0.3">
      <c r="A119" s="18">
        <v>46079</v>
      </c>
      <c r="B119" s="16">
        <v>5625</v>
      </c>
    </row>
    <row r="120" spans="1:2" x14ac:dyDescent="0.3">
      <c r="A120" s="17" t="s">
        <v>193</v>
      </c>
      <c r="B120" s="16">
        <v>22610</v>
      </c>
    </row>
    <row r="121" spans="1:2" x14ac:dyDescent="0.3">
      <c r="A121" s="18">
        <v>46080</v>
      </c>
      <c r="B121" s="16">
        <v>22610</v>
      </c>
    </row>
    <row r="122" spans="1:2" x14ac:dyDescent="0.3">
      <c r="A122" s="17" t="s">
        <v>194</v>
      </c>
      <c r="B122" s="16">
        <v>38340</v>
      </c>
    </row>
    <row r="123" spans="1:2" x14ac:dyDescent="0.3">
      <c r="A123" s="18">
        <v>46081</v>
      </c>
      <c r="B123" s="16">
        <v>38340</v>
      </c>
    </row>
    <row r="124" spans="1:2" x14ac:dyDescent="0.3">
      <c r="A124" s="15" t="s">
        <v>134</v>
      </c>
      <c r="B124" s="16">
        <v>830883.5</v>
      </c>
    </row>
    <row r="125" spans="1:2" x14ac:dyDescent="0.3">
      <c r="A125" s="17" t="s">
        <v>195</v>
      </c>
      <c r="B125" s="16">
        <v>13062.5</v>
      </c>
    </row>
    <row r="126" spans="1:2" x14ac:dyDescent="0.3">
      <c r="A126" s="18">
        <v>46082</v>
      </c>
      <c r="B126" s="16">
        <v>13062.5</v>
      </c>
    </row>
    <row r="127" spans="1:2" x14ac:dyDescent="0.3">
      <c r="A127" s="17" t="s">
        <v>196</v>
      </c>
      <c r="B127" s="16">
        <v>85000</v>
      </c>
    </row>
    <row r="128" spans="1:2" x14ac:dyDescent="0.3">
      <c r="A128" s="18">
        <v>46083</v>
      </c>
      <c r="B128" s="16">
        <v>85000</v>
      </c>
    </row>
    <row r="129" spans="1:2" x14ac:dyDescent="0.3">
      <c r="A129" s="17" t="s">
        <v>197</v>
      </c>
      <c r="B129" s="16">
        <v>4374</v>
      </c>
    </row>
    <row r="130" spans="1:2" x14ac:dyDescent="0.3">
      <c r="A130" s="18">
        <v>46084</v>
      </c>
      <c r="B130" s="16">
        <v>4374</v>
      </c>
    </row>
    <row r="131" spans="1:2" x14ac:dyDescent="0.3">
      <c r="A131" s="17" t="s">
        <v>198</v>
      </c>
      <c r="B131" s="16">
        <v>5890</v>
      </c>
    </row>
    <row r="132" spans="1:2" x14ac:dyDescent="0.3">
      <c r="A132" s="18">
        <v>46085</v>
      </c>
      <c r="B132" s="16">
        <v>5890</v>
      </c>
    </row>
    <row r="133" spans="1:2" x14ac:dyDescent="0.3">
      <c r="A133" s="17" t="s">
        <v>199</v>
      </c>
      <c r="B133" s="16">
        <v>21780</v>
      </c>
    </row>
    <row r="134" spans="1:2" x14ac:dyDescent="0.3">
      <c r="A134" s="18">
        <v>46086</v>
      </c>
      <c r="B134" s="16">
        <v>21780</v>
      </c>
    </row>
    <row r="135" spans="1:2" x14ac:dyDescent="0.3">
      <c r="A135" s="17" t="s">
        <v>200</v>
      </c>
      <c r="B135" s="16">
        <v>14250</v>
      </c>
    </row>
    <row r="136" spans="1:2" x14ac:dyDescent="0.3">
      <c r="A136" s="18">
        <v>46087</v>
      </c>
      <c r="B136" s="16">
        <v>14250</v>
      </c>
    </row>
    <row r="137" spans="1:2" x14ac:dyDescent="0.3">
      <c r="A137" s="17" t="s">
        <v>201</v>
      </c>
      <c r="B137" s="16">
        <v>17340</v>
      </c>
    </row>
    <row r="138" spans="1:2" x14ac:dyDescent="0.3">
      <c r="A138" s="18">
        <v>46088</v>
      </c>
      <c r="B138" s="16">
        <v>17340</v>
      </c>
    </row>
    <row r="139" spans="1:2" x14ac:dyDescent="0.3">
      <c r="A139" s="17" t="s">
        <v>202</v>
      </c>
      <c r="B139" s="16">
        <v>94500</v>
      </c>
    </row>
    <row r="140" spans="1:2" x14ac:dyDescent="0.3">
      <c r="A140" s="18">
        <v>46089</v>
      </c>
      <c r="B140" s="16">
        <v>94500</v>
      </c>
    </row>
    <row r="141" spans="1:2" x14ac:dyDescent="0.3">
      <c r="A141" s="17" t="s">
        <v>203</v>
      </c>
      <c r="B141" s="16">
        <v>3752.5</v>
      </c>
    </row>
    <row r="142" spans="1:2" x14ac:dyDescent="0.3">
      <c r="A142" s="18">
        <v>46090</v>
      </c>
      <c r="B142" s="16">
        <v>3752.5</v>
      </c>
    </row>
    <row r="143" spans="1:2" x14ac:dyDescent="0.3">
      <c r="A143" s="17" t="s">
        <v>204</v>
      </c>
      <c r="B143" s="16">
        <v>8505</v>
      </c>
    </row>
    <row r="144" spans="1:2" x14ac:dyDescent="0.3">
      <c r="A144" s="18">
        <v>46091</v>
      </c>
      <c r="B144" s="16">
        <v>8505</v>
      </c>
    </row>
    <row r="145" spans="1:2" x14ac:dyDescent="0.3">
      <c r="A145" s="17" t="s">
        <v>205</v>
      </c>
      <c r="B145" s="16">
        <v>33345</v>
      </c>
    </row>
    <row r="146" spans="1:2" x14ac:dyDescent="0.3">
      <c r="A146" s="18">
        <v>46092</v>
      </c>
      <c r="B146" s="16">
        <v>33345</v>
      </c>
    </row>
    <row r="147" spans="1:2" x14ac:dyDescent="0.3">
      <c r="A147" s="17" t="s">
        <v>206</v>
      </c>
      <c r="B147" s="16">
        <v>27720</v>
      </c>
    </row>
    <row r="148" spans="1:2" x14ac:dyDescent="0.3">
      <c r="A148" s="18">
        <v>46093</v>
      </c>
      <c r="B148" s="16">
        <v>27720</v>
      </c>
    </row>
    <row r="149" spans="1:2" x14ac:dyDescent="0.3">
      <c r="A149" s="17" t="s">
        <v>207</v>
      </c>
      <c r="B149" s="16">
        <v>13965</v>
      </c>
    </row>
    <row r="150" spans="1:2" x14ac:dyDescent="0.3">
      <c r="A150" s="18">
        <v>46094</v>
      </c>
      <c r="B150" s="16">
        <v>13965</v>
      </c>
    </row>
    <row r="151" spans="1:2" x14ac:dyDescent="0.3">
      <c r="A151" s="17" t="s">
        <v>208</v>
      </c>
      <c r="B151" s="16">
        <v>50150</v>
      </c>
    </row>
    <row r="152" spans="1:2" x14ac:dyDescent="0.3">
      <c r="A152" s="18">
        <v>46095</v>
      </c>
      <c r="B152" s="16">
        <v>50150</v>
      </c>
    </row>
    <row r="153" spans="1:2" x14ac:dyDescent="0.3">
      <c r="A153" s="17" t="s">
        <v>209</v>
      </c>
      <c r="B153" s="16">
        <v>6804</v>
      </c>
    </row>
    <row r="154" spans="1:2" x14ac:dyDescent="0.3">
      <c r="A154" s="18">
        <v>46096</v>
      </c>
      <c r="B154" s="16">
        <v>6804</v>
      </c>
    </row>
    <row r="155" spans="1:2" x14ac:dyDescent="0.3">
      <c r="A155" s="17" t="s">
        <v>210</v>
      </c>
      <c r="B155" s="16">
        <v>4702.5</v>
      </c>
    </row>
    <row r="156" spans="1:2" x14ac:dyDescent="0.3">
      <c r="A156" s="18">
        <v>46097</v>
      </c>
      <c r="B156" s="16">
        <v>4702.5</v>
      </c>
    </row>
    <row r="157" spans="1:2" x14ac:dyDescent="0.3">
      <c r="A157" s="17" t="s">
        <v>211</v>
      </c>
      <c r="B157" s="16">
        <v>22320</v>
      </c>
    </row>
    <row r="158" spans="1:2" x14ac:dyDescent="0.3">
      <c r="A158" s="18">
        <v>46098</v>
      </c>
      <c r="B158" s="16">
        <v>22320</v>
      </c>
    </row>
    <row r="159" spans="1:2" x14ac:dyDescent="0.3">
      <c r="A159" s="17" t="s">
        <v>212</v>
      </c>
      <c r="B159" s="16">
        <v>41895</v>
      </c>
    </row>
    <row r="160" spans="1:2" x14ac:dyDescent="0.3">
      <c r="A160" s="18">
        <v>46099</v>
      </c>
      <c r="B160" s="16">
        <v>41895</v>
      </c>
    </row>
    <row r="161" spans="1:2" x14ac:dyDescent="0.3">
      <c r="A161" s="17" t="s">
        <v>213</v>
      </c>
      <c r="B161" s="16">
        <v>12112.5</v>
      </c>
    </row>
    <row r="162" spans="1:2" x14ac:dyDescent="0.3">
      <c r="A162" s="18">
        <v>46100</v>
      </c>
      <c r="B162" s="16">
        <v>12112.5</v>
      </c>
    </row>
    <row r="163" spans="1:2" x14ac:dyDescent="0.3">
      <c r="A163" s="17" t="s">
        <v>214</v>
      </c>
      <c r="B163" s="16">
        <v>90900</v>
      </c>
    </row>
    <row r="164" spans="1:2" x14ac:dyDescent="0.3">
      <c r="A164" s="18">
        <v>46101</v>
      </c>
      <c r="B164" s="16">
        <v>90900</v>
      </c>
    </row>
    <row r="165" spans="1:2" x14ac:dyDescent="0.3">
      <c r="A165" s="17" t="s">
        <v>215</v>
      </c>
      <c r="B165" s="16">
        <v>5776</v>
      </c>
    </row>
    <row r="166" spans="1:2" x14ac:dyDescent="0.3">
      <c r="A166" s="18">
        <v>46102</v>
      </c>
      <c r="B166" s="16">
        <v>5776</v>
      </c>
    </row>
    <row r="167" spans="1:2" x14ac:dyDescent="0.3">
      <c r="A167" s="17" t="s">
        <v>216</v>
      </c>
      <c r="B167" s="16">
        <v>5220</v>
      </c>
    </row>
    <row r="168" spans="1:2" x14ac:dyDescent="0.3">
      <c r="A168" s="18">
        <v>46103</v>
      </c>
      <c r="B168" s="16">
        <v>5220</v>
      </c>
    </row>
    <row r="169" spans="1:2" x14ac:dyDescent="0.3">
      <c r="A169" s="17" t="s">
        <v>217</v>
      </c>
      <c r="B169" s="16">
        <v>12540</v>
      </c>
    </row>
    <row r="170" spans="1:2" x14ac:dyDescent="0.3">
      <c r="A170" s="18">
        <v>46104</v>
      </c>
      <c r="B170" s="16">
        <v>12540</v>
      </c>
    </row>
    <row r="171" spans="1:2" x14ac:dyDescent="0.3">
      <c r="A171" s="17" t="s">
        <v>218</v>
      </c>
      <c r="B171" s="16">
        <v>27180</v>
      </c>
    </row>
    <row r="172" spans="1:2" x14ac:dyDescent="0.3">
      <c r="A172" s="18">
        <v>46105</v>
      </c>
      <c r="B172" s="16">
        <v>27180</v>
      </c>
    </row>
    <row r="173" spans="1:2" x14ac:dyDescent="0.3">
      <c r="A173" s="17" t="s">
        <v>219</v>
      </c>
      <c r="B173" s="16">
        <v>17622.5</v>
      </c>
    </row>
    <row r="174" spans="1:2" x14ac:dyDescent="0.3">
      <c r="A174" s="18">
        <v>46106</v>
      </c>
      <c r="B174" s="16">
        <v>17622.5</v>
      </c>
    </row>
    <row r="175" spans="1:2" x14ac:dyDescent="0.3">
      <c r="A175" s="17" t="s">
        <v>220</v>
      </c>
      <c r="B175" s="16">
        <v>131325</v>
      </c>
    </row>
    <row r="176" spans="1:2" x14ac:dyDescent="0.3">
      <c r="A176" s="18">
        <v>46107</v>
      </c>
      <c r="B176" s="16">
        <v>131325</v>
      </c>
    </row>
    <row r="177" spans="1:2" x14ac:dyDescent="0.3">
      <c r="A177" s="17" t="s">
        <v>221</v>
      </c>
      <c r="B177" s="16">
        <v>4482</v>
      </c>
    </row>
    <row r="178" spans="1:2" x14ac:dyDescent="0.3">
      <c r="A178" s="18">
        <v>46108</v>
      </c>
      <c r="B178" s="16">
        <v>4482</v>
      </c>
    </row>
    <row r="179" spans="1:2" x14ac:dyDescent="0.3">
      <c r="A179" s="17" t="s">
        <v>222</v>
      </c>
      <c r="B179" s="16">
        <v>6555</v>
      </c>
    </row>
    <row r="180" spans="1:2" x14ac:dyDescent="0.3">
      <c r="A180" s="18">
        <v>46109</v>
      </c>
      <c r="B180" s="16">
        <v>6555</v>
      </c>
    </row>
    <row r="181" spans="1:2" x14ac:dyDescent="0.3">
      <c r="A181" s="17" t="s">
        <v>223</v>
      </c>
      <c r="B181" s="16">
        <v>22680</v>
      </c>
    </row>
    <row r="182" spans="1:2" x14ac:dyDescent="0.3">
      <c r="A182" s="18">
        <v>46110</v>
      </c>
      <c r="B182" s="16">
        <v>22680</v>
      </c>
    </row>
    <row r="183" spans="1:2" x14ac:dyDescent="0.3">
      <c r="A183" s="17" t="s">
        <v>224</v>
      </c>
      <c r="B183" s="16">
        <v>15105</v>
      </c>
    </row>
    <row r="184" spans="1:2" x14ac:dyDescent="0.3">
      <c r="A184" s="18">
        <v>46111</v>
      </c>
      <c r="B184" s="16">
        <v>15105</v>
      </c>
    </row>
    <row r="185" spans="1:2" x14ac:dyDescent="0.3">
      <c r="A185" s="17" t="s">
        <v>225</v>
      </c>
      <c r="B185" s="16">
        <v>10030</v>
      </c>
    </row>
    <row r="186" spans="1:2" x14ac:dyDescent="0.3">
      <c r="A186" s="18">
        <v>46112</v>
      </c>
      <c r="B186" s="16">
        <v>10030</v>
      </c>
    </row>
    <row r="187" spans="1:2" x14ac:dyDescent="0.3">
      <c r="A187" s="15" t="s">
        <v>135</v>
      </c>
      <c r="B187" s="16">
        <v>273594.5</v>
      </c>
    </row>
    <row r="188" spans="1:2" x14ac:dyDescent="0.3">
      <c r="A188" s="17" t="s">
        <v>226</v>
      </c>
      <c r="B188" s="16">
        <v>96300</v>
      </c>
    </row>
    <row r="189" spans="1:2" x14ac:dyDescent="0.3">
      <c r="A189" s="18">
        <v>46113</v>
      </c>
      <c r="B189" s="16">
        <v>96300</v>
      </c>
    </row>
    <row r="190" spans="1:2" x14ac:dyDescent="0.3">
      <c r="A190" s="17" t="s">
        <v>227</v>
      </c>
      <c r="B190" s="16">
        <v>7695</v>
      </c>
    </row>
    <row r="191" spans="1:2" x14ac:dyDescent="0.3">
      <c r="A191" s="18">
        <v>46114</v>
      </c>
      <c r="B191" s="16">
        <v>7695</v>
      </c>
    </row>
    <row r="192" spans="1:2" x14ac:dyDescent="0.3">
      <c r="A192" s="17" t="s">
        <v>228</v>
      </c>
      <c r="B192" s="16">
        <v>8208</v>
      </c>
    </row>
    <row r="193" spans="1:2" x14ac:dyDescent="0.3">
      <c r="A193" s="18">
        <v>46115</v>
      </c>
      <c r="B193" s="16">
        <v>8208</v>
      </c>
    </row>
    <row r="194" spans="1:2" x14ac:dyDescent="0.3">
      <c r="A194" s="17" t="s">
        <v>229</v>
      </c>
      <c r="B194" s="16">
        <v>34200</v>
      </c>
    </row>
    <row r="195" spans="1:2" x14ac:dyDescent="0.3">
      <c r="A195" s="18">
        <v>46116</v>
      </c>
      <c r="B195" s="16">
        <v>34200</v>
      </c>
    </row>
    <row r="196" spans="1:2" x14ac:dyDescent="0.3">
      <c r="A196" s="17" t="s">
        <v>230</v>
      </c>
      <c r="B196" s="16">
        <v>28080</v>
      </c>
    </row>
    <row r="197" spans="1:2" x14ac:dyDescent="0.3">
      <c r="A197" s="18">
        <v>46117</v>
      </c>
      <c r="B197" s="16">
        <v>28080</v>
      </c>
    </row>
    <row r="198" spans="1:2" x14ac:dyDescent="0.3">
      <c r="A198" s="17" t="s">
        <v>231</v>
      </c>
      <c r="B198" s="16">
        <v>13062.5</v>
      </c>
    </row>
    <row r="199" spans="1:2" x14ac:dyDescent="0.3">
      <c r="A199" s="18">
        <v>46118</v>
      </c>
      <c r="B199" s="16">
        <v>13062.5</v>
      </c>
    </row>
    <row r="200" spans="1:2" x14ac:dyDescent="0.3">
      <c r="A200" s="17" t="s">
        <v>232</v>
      </c>
      <c r="B200" s="16">
        <v>51850</v>
      </c>
    </row>
    <row r="201" spans="1:2" x14ac:dyDescent="0.3">
      <c r="A201" s="18">
        <v>46119</v>
      </c>
      <c r="B201" s="16">
        <v>51850</v>
      </c>
    </row>
    <row r="202" spans="1:2" x14ac:dyDescent="0.3">
      <c r="A202" s="17" t="s">
        <v>233</v>
      </c>
      <c r="B202" s="16">
        <v>5355</v>
      </c>
    </row>
    <row r="203" spans="1:2" x14ac:dyDescent="0.3">
      <c r="A203" s="18">
        <v>46120</v>
      </c>
      <c r="B203" s="16">
        <v>5355</v>
      </c>
    </row>
    <row r="204" spans="1:2" x14ac:dyDescent="0.3">
      <c r="A204" s="17" t="s">
        <v>234</v>
      </c>
      <c r="B204" s="16">
        <v>5624</v>
      </c>
    </row>
    <row r="205" spans="1:2" x14ac:dyDescent="0.3">
      <c r="A205" s="18">
        <v>46121</v>
      </c>
      <c r="B205" s="16">
        <v>5624</v>
      </c>
    </row>
    <row r="206" spans="1:2" x14ac:dyDescent="0.3">
      <c r="A206" s="17" t="s">
        <v>235</v>
      </c>
      <c r="B206" s="16">
        <v>23220</v>
      </c>
    </row>
    <row r="207" spans="1:2" x14ac:dyDescent="0.3">
      <c r="A207" s="18">
        <v>46122</v>
      </c>
      <c r="B207" s="16">
        <v>23220</v>
      </c>
    </row>
    <row r="208" spans="1:2" x14ac:dyDescent="0.3">
      <c r="A208" s="15" t="s">
        <v>130</v>
      </c>
      <c r="B208" s="16">
        <v>2712300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3597-A132-4463-A275-392E2F9EC6EA}">
  <dimension ref="A1"/>
  <sheetViews>
    <sheetView topLeftCell="A5" workbookViewId="0">
      <selection activeCell="S27" sqref="S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23C3-3211-4183-815F-9AAB8A82C3B9}">
  <dimension ref="A3:B6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3" width="17.21875" bestFit="1" customWidth="1"/>
  </cols>
  <sheetData>
    <row r="3" spans="1:2" x14ac:dyDescent="0.3">
      <c r="A3" s="14" t="s">
        <v>129</v>
      </c>
      <c r="B3" t="s">
        <v>236</v>
      </c>
    </row>
    <row r="4" spans="1:2" x14ac:dyDescent="0.3">
      <c r="A4" s="15" t="s">
        <v>17</v>
      </c>
      <c r="B4" s="16">
        <v>408400</v>
      </c>
    </row>
    <row r="5" spans="1:2" x14ac:dyDescent="0.3">
      <c r="A5" s="15" t="s">
        <v>13</v>
      </c>
      <c r="B5" s="16">
        <v>2303900</v>
      </c>
    </row>
    <row r="6" spans="1:2" x14ac:dyDescent="0.3">
      <c r="A6" s="15" t="s">
        <v>130</v>
      </c>
      <c r="B6" s="16">
        <v>2712300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005A-FA10-4625-B428-A3AB5428B56A}">
  <dimension ref="A1:N103"/>
  <sheetViews>
    <sheetView tabSelected="1" topLeftCell="D1" zoomScale="84" workbookViewId="0">
      <selection activeCell="N15" sqref="N15"/>
    </sheetView>
  </sheetViews>
  <sheetFormatPr defaultRowHeight="14.4" x14ac:dyDescent="0.3"/>
  <cols>
    <col min="1" max="1" width="9.88671875" style="2" customWidth="1"/>
    <col min="2" max="2" width="10.33203125" style="2" bestFit="1" customWidth="1"/>
    <col min="3" max="3" width="11.109375" style="2" bestFit="1" customWidth="1"/>
    <col min="4" max="4" width="10.44140625" style="2" bestFit="1" customWidth="1"/>
    <col min="5" max="5" width="8.6640625" style="2" customWidth="1"/>
    <col min="6" max="6" width="10.21875" style="2" customWidth="1"/>
    <col min="7" max="7" width="11" style="2" customWidth="1"/>
    <col min="8" max="8" width="12.77734375" style="12" bestFit="1" customWidth="1"/>
    <col min="9" max="9" width="10.21875" style="2" customWidth="1"/>
    <col min="10" max="10" width="11.44140625" style="2" customWidth="1"/>
    <col min="11" max="11" width="12.77734375" style="2" customWidth="1"/>
    <col min="12" max="12" width="26.6640625" style="2" customWidth="1"/>
    <col min="13" max="13" width="36.77734375" style="2" customWidth="1"/>
    <col min="14" max="14" width="13.77734375" style="2" customWidth="1"/>
    <col min="15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7" t="s">
        <v>123</v>
      </c>
      <c r="M1" s="6" t="s">
        <v>124</v>
      </c>
      <c r="N1" s="6" t="s">
        <v>125</v>
      </c>
    </row>
    <row r="2" spans="1:14" x14ac:dyDescent="0.3">
      <c r="A2" s="2" t="s">
        <v>11</v>
      </c>
      <c r="B2" s="3">
        <v>46023</v>
      </c>
      <c r="C2" s="2" t="s">
        <v>12</v>
      </c>
      <c r="D2" s="2" t="s">
        <v>13</v>
      </c>
      <c r="E2" s="2" t="s">
        <v>14</v>
      </c>
      <c r="F2" s="2">
        <v>2</v>
      </c>
      <c r="G2" s="4">
        <v>50000</v>
      </c>
      <c r="H2" s="12">
        <f t="shared" ref="H2:H65" si="0">F2*G2</f>
        <v>100000</v>
      </c>
      <c r="I2" s="5">
        <v>0.05</v>
      </c>
      <c r="J2" s="10">
        <f t="shared" ref="J2:J65" si="1">H2-(H2*I2)</f>
        <v>95000</v>
      </c>
      <c r="K2" s="2" t="str">
        <f t="shared" ref="K2:K65" si="2">IF(J2&gt;=50000,"High",IF(J2&gt;=25000,"Medium","Low"))</f>
        <v>High</v>
      </c>
      <c r="L2" s="4" t="s">
        <v>126</v>
      </c>
      <c r="M2" s="4"/>
      <c r="N2" s="4"/>
    </row>
    <row r="3" spans="1:14" x14ac:dyDescent="0.3">
      <c r="A3" s="2" t="s">
        <v>15</v>
      </c>
      <c r="B3" s="3">
        <v>46024</v>
      </c>
      <c r="C3" s="2" t="s">
        <v>16</v>
      </c>
      <c r="D3" s="2" t="s">
        <v>17</v>
      </c>
      <c r="E3" s="2" t="s">
        <v>18</v>
      </c>
      <c r="F3" s="2">
        <v>5</v>
      </c>
      <c r="G3" s="4">
        <v>800</v>
      </c>
      <c r="H3" s="12">
        <f t="shared" si="0"/>
        <v>4000</v>
      </c>
      <c r="I3" s="5">
        <v>0.1</v>
      </c>
      <c r="J3" s="10">
        <f t="shared" si="1"/>
        <v>3600</v>
      </c>
      <c r="K3" s="2" t="str">
        <f t="shared" si="2"/>
        <v>Low</v>
      </c>
      <c r="L3" s="4" t="s">
        <v>127</v>
      </c>
      <c r="M3" s="4"/>
      <c r="N3" s="4"/>
    </row>
    <row r="4" spans="1:14" ht="21" x14ac:dyDescent="0.3">
      <c r="A4" s="2" t="s">
        <v>19</v>
      </c>
      <c r="B4" s="3">
        <v>46025</v>
      </c>
      <c r="C4" s="2" t="s">
        <v>20</v>
      </c>
      <c r="D4" s="2" t="s">
        <v>17</v>
      </c>
      <c r="E4" s="2" t="s">
        <v>21</v>
      </c>
      <c r="F4" s="2">
        <v>3</v>
      </c>
      <c r="G4" s="4">
        <v>1500</v>
      </c>
      <c r="H4" s="12">
        <f t="shared" si="0"/>
        <v>4500</v>
      </c>
      <c r="I4" s="5">
        <v>0.05</v>
      </c>
      <c r="J4" s="10">
        <f t="shared" si="1"/>
        <v>4275</v>
      </c>
      <c r="K4" s="2" t="str">
        <f t="shared" si="2"/>
        <v>Low</v>
      </c>
      <c r="L4" s="4" t="s">
        <v>127</v>
      </c>
      <c r="M4" s="8"/>
      <c r="N4" s="4"/>
    </row>
    <row r="5" spans="1:14" ht="21" x14ac:dyDescent="0.4">
      <c r="A5" s="2" t="s">
        <v>22</v>
      </c>
      <c r="B5" s="3">
        <v>46026</v>
      </c>
      <c r="C5" s="2" t="s">
        <v>23</v>
      </c>
      <c r="D5" s="2" t="s">
        <v>13</v>
      </c>
      <c r="E5" s="2" t="s">
        <v>24</v>
      </c>
      <c r="F5" s="2">
        <v>2</v>
      </c>
      <c r="G5" s="4">
        <v>12000</v>
      </c>
      <c r="H5" s="12">
        <f t="shared" si="0"/>
        <v>24000</v>
      </c>
      <c r="I5" s="5">
        <v>0.1</v>
      </c>
      <c r="J5" s="10">
        <f t="shared" si="1"/>
        <v>21600</v>
      </c>
      <c r="K5" s="2" t="str">
        <f t="shared" si="2"/>
        <v>Low</v>
      </c>
      <c r="L5" s="4" t="s">
        <v>127</v>
      </c>
      <c r="M5" s="19" t="s">
        <v>237</v>
      </c>
      <c r="N5" s="4"/>
    </row>
    <row r="6" spans="1:14" x14ac:dyDescent="0.3">
      <c r="A6" s="2" t="s">
        <v>25</v>
      </c>
      <c r="B6" s="3">
        <v>46027</v>
      </c>
      <c r="C6" s="2" t="s">
        <v>26</v>
      </c>
      <c r="D6" s="2" t="s">
        <v>13</v>
      </c>
      <c r="E6" s="2" t="s">
        <v>14</v>
      </c>
      <c r="F6" s="2">
        <v>1</v>
      </c>
      <c r="G6" s="4">
        <v>15000</v>
      </c>
      <c r="H6" s="12">
        <f t="shared" si="0"/>
        <v>15000</v>
      </c>
      <c r="I6" s="5">
        <v>0.05</v>
      </c>
      <c r="J6" s="10">
        <f t="shared" si="1"/>
        <v>14250</v>
      </c>
      <c r="K6" s="2" t="str">
        <f t="shared" si="2"/>
        <v>Low</v>
      </c>
      <c r="L6" s="4" t="s">
        <v>127</v>
      </c>
      <c r="M6"/>
      <c r="N6" s="9"/>
    </row>
    <row r="7" spans="1:14" x14ac:dyDescent="0.3">
      <c r="A7" s="2" t="s">
        <v>27</v>
      </c>
      <c r="B7" s="3">
        <v>46028</v>
      </c>
      <c r="C7" s="2" t="s">
        <v>28</v>
      </c>
      <c r="D7" s="2" t="s">
        <v>17</v>
      </c>
      <c r="E7" s="2" t="s">
        <v>18</v>
      </c>
      <c r="F7" s="2">
        <v>4</v>
      </c>
      <c r="G7" s="4">
        <v>2500</v>
      </c>
      <c r="H7" s="12">
        <f t="shared" si="0"/>
        <v>10000</v>
      </c>
      <c r="I7" s="5">
        <v>0.15</v>
      </c>
      <c r="J7" s="10">
        <f t="shared" si="1"/>
        <v>8500</v>
      </c>
      <c r="K7" s="2" t="str">
        <f t="shared" si="2"/>
        <v>Low</v>
      </c>
      <c r="L7" s="4" t="s">
        <v>127</v>
      </c>
      <c r="M7" s="20" t="s">
        <v>238</v>
      </c>
      <c r="N7" s="9">
        <f>SUM(J2:J101)</f>
        <v>2712300</v>
      </c>
    </row>
    <row r="8" spans="1:14" x14ac:dyDescent="0.3">
      <c r="A8" s="2" t="s">
        <v>29</v>
      </c>
      <c r="B8" s="3">
        <v>46029</v>
      </c>
      <c r="C8" s="2" t="s">
        <v>12</v>
      </c>
      <c r="D8" s="2" t="s">
        <v>13</v>
      </c>
      <c r="E8" s="2" t="s">
        <v>21</v>
      </c>
      <c r="F8" s="2">
        <v>1</v>
      </c>
      <c r="G8" s="4">
        <v>55000</v>
      </c>
      <c r="H8" s="12">
        <f t="shared" si="0"/>
        <v>55000</v>
      </c>
      <c r="I8" s="5">
        <v>0.1</v>
      </c>
      <c r="J8" s="10">
        <f t="shared" si="1"/>
        <v>49500</v>
      </c>
      <c r="K8" s="2" t="str">
        <f t="shared" si="2"/>
        <v>Medium</v>
      </c>
      <c r="L8" s="4" t="s">
        <v>128</v>
      </c>
      <c r="M8" s="20" t="s">
        <v>239</v>
      </c>
      <c r="N8" s="9">
        <f>AVERAGE(J2:J101)</f>
        <v>27123</v>
      </c>
    </row>
    <row r="9" spans="1:14" x14ac:dyDescent="0.3">
      <c r="A9" s="2" t="s">
        <v>30</v>
      </c>
      <c r="B9" s="3">
        <v>46030</v>
      </c>
      <c r="C9" s="2" t="s">
        <v>16</v>
      </c>
      <c r="D9" s="2" t="s">
        <v>17</v>
      </c>
      <c r="E9" s="2" t="s">
        <v>24</v>
      </c>
      <c r="F9" s="2">
        <v>8</v>
      </c>
      <c r="G9" s="4">
        <v>750</v>
      </c>
      <c r="H9" s="12">
        <f t="shared" si="0"/>
        <v>6000</v>
      </c>
      <c r="I9" s="5">
        <v>0.05</v>
      </c>
      <c r="J9" s="10">
        <f t="shared" si="1"/>
        <v>5700</v>
      </c>
      <c r="K9" s="2" t="str">
        <f t="shared" si="2"/>
        <v>Low</v>
      </c>
      <c r="L9" s="4" t="s">
        <v>127</v>
      </c>
      <c r="M9" s="20" t="s">
        <v>240</v>
      </c>
      <c r="N9" s="9">
        <f>MAX(J2:J101)</f>
        <v>132600</v>
      </c>
    </row>
    <row r="10" spans="1:14" x14ac:dyDescent="0.3">
      <c r="A10" s="2" t="s">
        <v>31</v>
      </c>
      <c r="B10" s="3">
        <v>46031</v>
      </c>
      <c r="C10" s="2" t="s">
        <v>20</v>
      </c>
      <c r="D10" s="2" t="s">
        <v>17</v>
      </c>
      <c r="E10" s="2" t="s">
        <v>14</v>
      </c>
      <c r="F10" s="2">
        <v>6</v>
      </c>
      <c r="G10" s="4">
        <v>1200</v>
      </c>
      <c r="H10" s="12">
        <f t="shared" si="0"/>
        <v>7200</v>
      </c>
      <c r="I10" s="5">
        <v>0.1</v>
      </c>
      <c r="J10" s="10">
        <f t="shared" si="1"/>
        <v>6480</v>
      </c>
      <c r="K10" s="2" t="str">
        <f t="shared" si="2"/>
        <v>Low</v>
      </c>
      <c r="L10" s="4" t="s">
        <v>127</v>
      </c>
      <c r="M10" s="20" t="s">
        <v>241</v>
      </c>
      <c r="N10" s="9">
        <f>MIN(J2:J101)</f>
        <v>3600</v>
      </c>
    </row>
    <row r="11" spans="1:14" x14ac:dyDescent="0.3">
      <c r="A11" s="2" t="s">
        <v>32</v>
      </c>
      <c r="B11" s="3">
        <v>46032</v>
      </c>
      <c r="C11" s="2" t="s">
        <v>23</v>
      </c>
      <c r="D11" s="2" t="s">
        <v>13</v>
      </c>
      <c r="E11" s="2" t="s">
        <v>18</v>
      </c>
      <c r="F11" s="2">
        <v>3</v>
      </c>
      <c r="G11" s="4">
        <v>11000</v>
      </c>
      <c r="H11" s="12">
        <f t="shared" si="0"/>
        <v>33000</v>
      </c>
      <c r="I11" s="5">
        <v>0.05</v>
      </c>
      <c r="J11" s="10">
        <f t="shared" si="1"/>
        <v>31350</v>
      </c>
      <c r="K11" s="2" t="str">
        <f t="shared" si="2"/>
        <v>Medium</v>
      </c>
      <c r="L11" s="4" t="s">
        <v>128</v>
      </c>
      <c r="M11" s="20" t="s">
        <v>242</v>
      </c>
      <c r="N11" s="2">
        <f>COUNTA(A2:A101)</f>
        <v>100</v>
      </c>
    </row>
    <row r="12" spans="1:14" x14ac:dyDescent="0.3">
      <c r="A12" s="2" t="s">
        <v>33</v>
      </c>
      <c r="B12" s="3">
        <v>46033</v>
      </c>
      <c r="C12" s="2" t="s">
        <v>26</v>
      </c>
      <c r="D12" s="2" t="s">
        <v>13</v>
      </c>
      <c r="E12" s="2" t="s">
        <v>21</v>
      </c>
      <c r="F12" s="2">
        <v>2</v>
      </c>
      <c r="G12" s="4">
        <v>14000</v>
      </c>
      <c r="H12" s="12">
        <f t="shared" si="0"/>
        <v>28000</v>
      </c>
      <c r="I12" s="5">
        <v>0.1</v>
      </c>
      <c r="J12" s="10">
        <f t="shared" si="1"/>
        <v>25200</v>
      </c>
      <c r="K12" s="2" t="str">
        <f t="shared" si="2"/>
        <v>Medium</v>
      </c>
      <c r="L12" s="4" t="s">
        <v>127</v>
      </c>
      <c r="M12" s="20" t="s">
        <v>243</v>
      </c>
      <c r="N12" s="9">
        <f>SUMIF(E2:E101,"SOUTH",J2:J101)</f>
        <v>1030378</v>
      </c>
    </row>
    <row r="13" spans="1:14" x14ac:dyDescent="0.3">
      <c r="A13" s="2" t="s">
        <v>34</v>
      </c>
      <c r="B13" s="3">
        <v>46034</v>
      </c>
      <c r="C13" s="2" t="s">
        <v>28</v>
      </c>
      <c r="D13" s="2" t="s">
        <v>17</v>
      </c>
      <c r="E13" s="2" t="s">
        <v>24</v>
      </c>
      <c r="F13" s="2">
        <v>5</v>
      </c>
      <c r="G13" s="4">
        <v>2200</v>
      </c>
      <c r="H13" s="12">
        <f t="shared" si="0"/>
        <v>11000</v>
      </c>
      <c r="I13" s="5">
        <v>0.05</v>
      </c>
      <c r="J13" s="10">
        <f t="shared" si="1"/>
        <v>10450</v>
      </c>
      <c r="K13" s="2" t="str">
        <f t="shared" si="2"/>
        <v>Low</v>
      </c>
      <c r="L13" s="4" t="s">
        <v>127</v>
      </c>
      <c r="M13" s="20" t="s">
        <v>244</v>
      </c>
      <c r="N13" s="9">
        <f>SUMIF(D2:D101,"ELECTRONICS",J2:J101)</f>
        <v>2303900</v>
      </c>
    </row>
    <row r="14" spans="1:14" x14ac:dyDescent="0.3">
      <c r="A14" s="2" t="s">
        <v>35</v>
      </c>
      <c r="B14" s="3">
        <v>46035</v>
      </c>
      <c r="C14" s="2" t="s">
        <v>12</v>
      </c>
      <c r="D14" s="2" t="s">
        <v>13</v>
      </c>
      <c r="E14" s="2" t="s">
        <v>14</v>
      </c>
      <c r="F14" s="2">
        <v>3</v>
      </c>
      <c r="G14" s="4">
        <v>52000</v>
      </c>
      <c r="H14" s="12">
        <f t="shared" si="0"/>
        <v>156000</v>
      </c>
      <c r="I14" s="5">
        <v>0.15</v>
      </c>
      <c r="J14" s="10">
        <f t="shared" si="1"/>
        <v>132600</v>
      </c>
      <c r="K14" s="2" t="str">
        <f t="shared" si="2"/>
        <v>High</v>
      </c>
      <c r="L14" s="4" t="s">
        <v>126</v>
      </c>
      <c r="M14" s="21" t="s">
        <v>245</v>
      </c>
      <c r="N14" s="2">
        <f>COUNTIF(E2:E101,"north")</f>
        <v>25</v>
      </c>
    </row>
    <row r="15" spans="1:14" x14ac:dyDescent="0.3">
      <c r="A15" s="2" t="s">
        <v>36</v>
      </c>
      <c r="B15" s="3">
        <v>46036</v>
      </c>
      <c r="C15" s="2" t="s">
        <v>16</v>
      </c>
      <c r="D15" s="2" t="s">
        <v>17</v>
      </c>
      <c r="E15" s="2" t="s">
        <v>18</v>
      </c>
      <c r="F15" s="2">
        <v>10</v>
      </c>
      <c r="G15" s="4">
        <v>850</v>
      </c>
      <c r="H15" s="12">
        <f t="shared" si="0"/>
        <v>8500</v>
      </c>
      <c r="I15" s="5">
        <v>0.1</v>
      </c>
      <c r="J15" s="10">
        <f t="shared" si="1"/>
        <v>7650</v>
      </c>
      <c r="K15" s="2" t="str">
        <f t="shared" si="2"/>
        <v>Low</v>
      </c>
      <c r="L15" s="4" t="s">
        <v>127</v>
      </c>
      <c r="M15" s="13" t="s">
        <v>246</v>
      </c>
      <c r="N15" s="22">
        <f>COUNTIFS(E2:E101,"west",J2:J101,"&gt;30000")</f>
        <v>10</v>
      </c>
    </row>
    <row r="16" spans="1:14" x14ac:dyDescent="0.3">
      <c r="A16" s="2" t="s">
        <v>37</v>
      </c>
      <c r="B16" s="3">
        <v>46037</v>
      </c>
      <c r="C16" s="2" t="s">
        <v>20</v>
      </c>
      <c r="D16" s="2" t="s">
        <v>17</v>
      </c>
      <c r="E16" s="2" t="s">
        <v>21</v>
      </c>
      <c r="F16" s="2">
        <v>4</v>
      </c>
      <c r="G16" s="4">
        <v>1600</v>
      </c>
      <c r="H16" s="12">
        <f t="shared" si="0"/>
        <v>6400</v>
      </c>
      <c r="I16" s="5">
        <v>0.05</v>
      </c>
      <c r="J16" s="10">
        <f t="shared" si="1"/>
        <v>6080</v>
      </c>
      <c r="K16" s="2" t="str">
        <f t="shared" si="2"/>
        <v>Low</v>
      </c>
      <c r="L16" s="4" t="s">
        <v>127</v>
      </c>
      <c r="M16" s="4"/>
      <c r="N16" s="4"/>
    </row>
    <row r="17" spans="1:14" x14ac:dyDescent="0.3">
      <c r="A17" s="2" t="s">
        <v>38</v>
      </c>
      <c r="B17" s="3">
        <v>46038</v>
      </c>
      <c r="C17" s="2" t="s">
        <v>23</v>
      </c>
      <c r="D17" s="2" t="s">
        <v>13</v>
      </c>
      <c r="E17" s="2" t="s">
        <v>24</v>
      </c>
      <c r="F17" s="2">
        <v>2</v>
      </c>
      <c r="G17" s="4">
        <v>12500</v>
      </c>
      <c r="H17" s="12">
        <f t="shared" si="0"/>
        <v>25000</v>
      </c>
      <c r="I17" s="5">
        <v>0.1</v>
      </c>
      <c r="J17" s="10">
        <f t="shared" si="1"/>
        <v>22500</v>
      </c>
      <c r="K17" s="2" t="str">
        <f t="shared" si="2"/>
        <v>Low</v>
      </c>
      <c r="L17" s="4" t="s">
        <v>127</v>
      </c>
      <c r="M17" s="4"/>
      <c r="N17" s="4"/>
    </row>
    <row r="18" spans="1:14" x14ac:dyDescent="0.3">
      <c r="A18" s="2" t="s">
        <v>39</v>
      </c>
      <c r="B18" s="3">
        <v>46039</v>
      </c>
      <c r="C18" s="2" t="s">
        <v>26</v>
      </c>
      <c r="D18" s="2" t="s">
        <v>13</v>
      </c>
      <c r="E18" s="2" t="s">
        <v>14</v>
      </c>
      <c r="F18" s="2">
        <v>3</v>
      </c>
      <c r="G18" s="4">
        <v>15500</v>
      </c>
      <c r="H18" s="12">
        <f t="shared" si="0"/>
        <v>46500</v>
      </c>
      <c r="I18" s="5">
        <v>0.05</v>
      </c>
      <c r="J18" s="10">
        <f t="shared" si="1"/>
        <v>44175</v>
      </c>
      <c r="K18" s="2" t="str">
        <f t="shared" si="2"/>
        <v>Medium</v>
      </c>
      <c r="L18" s="4" t="s">
        <v>128</v>
      </c>
      <c r="M18" s="4"/>
      <c r="N18" s="4"/>
    </row>
    <row r="19" spans="1:14" x14ac:dyDescent="0.3">
      <c r="A19" s="2" t="s">
        <v>40</v>
      </c>
      <c r="B19" s="3">
        <v>46040</v>
      </c>
      <c r="C19" s="2" t="s">
        <v>28</v>
      </c>
      <c r="D19" s="2" t="s">
        <v>17</v>
      </c>
      <c r="E19" s="2" t="s">
        <v>18</v>
      </c>
      <c r="F19" s="2">
        <v>7</v>
      </c>
      <c r="G19" s="4">
        <v>2800</v>
      </c>
      <c r="H19" s="12">
        <f t="shared" si="0"/>
        <v>19600</v>
      </c>
      <c r="I19" s="5">
        <v>0.15</v>
      </c>
      <c r="J19" s="10">
        <f t="shared" si="1"/>
        <v>16660</v>
      </c>
      <c r="K19" s="2" t="str">
        <f t="shared" si="2"/>
        <v>Low</v>
      </c>
      <c r="L19" s="4" t="s">
        <v>127</v>
      </c>
      <c r="M19" s="4"/>
      <c r="N19" s="4"/>
    </row>
    <row r="20" spans="1:14" x14ac:dyDescent="0.3">
      <c r="A20" s="2" t="s">
        <v>41</v>
      </c>
      <c r="B20" s="3">
        <v>46041</v>
      </c>
      <c r="C20" s="2" t="s">
        <v>12</v>
      </c>
      <c r="D20" s="2" t="s">
        <v>13</v>
      </c>
      <c r="E20" s="2" t="s">
        <v>21</v>
      </c>
      <c r="F20" s="2">
        <v>2</v>
      </c>
      <c r="G20" s="4">
        <v>48000</v>
      </c>
      <c r="H20" s="12">
        <f t="shared" si="0"/>
        <v>96000</v>
      </c>
      <c r="I20" s="5">
        <v>0.1</v>
      </c>
      <c r="J20" s="10">
        <f t="shared" si="1"/>
        <v>86400</v>
      </c>
      <c r="K20" s="2" t="str">
        <f t="shared" si="2"/>
        <v>High</v>
      </c>
      <c r="L20" s="4" t="s">
        <v>126</v>
      </c>
      <c r="M20" s="4"/>
      <c r="N20" s="4"/>
    </row>
    <row r="21" spans="1:14" x14ac:dyDescent="0.3">
      <c r="A21" s="2" t="s">
        <v>42</v>
      </c>
      <c r="B21" s="3">
        <v>46042</v>
      </c>
      <c r="C21" s="2" t="s">
        <v>16</v>
      </c>
      <c r="D21" s="2" t="s">
        <v>17</v>
      </c>
      <c r="E21" s="2" t="s">
        <v>24</v>
      </c>
      <c r="F21" s="2">
        <v>6</v>
      </c>
      <c r="G21" s="4">
        <v>900</v>
      </c>
      <c r="H21" s="12">
        <f t="shared" si="0"/>
        <v>5400</v>
      </c>
      <c r="I21" s="5">
        <v>0.05</v>
      </c>
      <c r="J21" s="10">
        <f t="shared" si="1"/>
        <v>5130</v>
      </c>
      <c r="K21" s="2" t="str">
        <f t="shared" si="2"/>
        <v>Low</v>
      </c>
      <c r="L21" s="4" t="s">
        <v>127</v>
      </c>
      <c r="M21" s="4"/>
      <c r="N21" s="4"/>
    </row>
    <row r="22" spans="1:14" x14ac:dyDescent="0.3">
      <c r="A22" s="2" t="s">
        <v>43</v>
      </c>
      <c r="B22" s="3">
        <v>46043</v>
      </c>
      <c r="C22" s="2" t="s">
        <v>20</v>
      </c>
      <c r="D22" s="2" t="s">
        <v>17</v>
      </c>
      <c r="E22" s="2" t="s">
        <v>14</v>
      </c>
      <c r="F22" s="2">
        <v>5</v>
      </c>
      <c r="G22" s="4">
        <v>1400</v>
      </c>
      <c r="H22" s="12">
        <f t="shared" si="0"/>
        <v>7000</v>
      </c>
      <c r="I22" s="5">
        <v>0.1</v>
      </c>
      <c r="J22" s="10">
        <f t="shared" si="1"/>
        <v>6300</v>
      </c>
      <c r="K22" s="2" t="str">
        <f t="shared" si="2"/>
        <v>Low</v>
      </c>
      <c r="L22" s="4" t="s">
        <v>127</v>
      </c>
      <c r="M22" s="4"/>
      <c r="N22" s="4"/>
    </row>
    <row r="23" spans="1:14" x14ac:dyDescent="0.3">
      <c r="A23" s="2" t="s">
        <v>44</v>
      </c>
      <c r="B23" s="3">
        <v>46044</v>
      </c>
      <c r="C23" s="2" t="s">
        <v>23</v>
      </c>
      <c r="D23" s="2" t="s">
        <v>13</v>
      </c>
      <c r="E23" s="2" t="s">
        <v>18</v>
      </c>
      <c r="F23" s="2">
        <v>1</v>
      </c>
      <c r="G23" s="4">
        <v>13000</v>
      </c>
      <c r="H23" s="12">
        <f t="shared" si="0"/>
        <v>13000</v>
      </c>
      <c r="I23" s="5">
        <v>0.05</v>
      </c>
      <c r="J23" s="10">
        <f t="shared" si="1"/>
        <v>12350</v>
      </c>
      <c r="K23" s="2" t="str">
        <f t="shared" si="2"/>
        <v>Low</v>
      </c>
      <c r="L23" s="4" t="s">
        <v>127</v>
      </c>
      <c r="M23" s="4"/>
      <c r="N23" s="4"/>
    </row>
    <row r="24" spans="1:14" x14ac:dyDescent="0.3">
      <c r="A24" s="2" t="s">
        <v>45</v>
      </c>
      <c r="B24" s="3">
        <v>46045</v>
      </c>
      <c r="C24" s="2" t="s">
        <v>26</v>
      </c>
      <c r="D24" s="2" t="s">
        <v>13</v>
      </c>
      <c r="E24" s="2" t="s">
        <v>21</v>
      </c>
      <c r="F24" s="2">
        <v>2</v>
      </c>
      <c r="G24" s="4">
        <v>16000</v>
      </c>
      <c r="H24" s="12">
        <f t="shared" si="0"/>
        <v>32000</v>
      </c>
      <c r="I24" s="5">
        <v>0.1</v>
      </c>
      <c r="J24" s="10">
        <f t="shared" si="1"/>
        <v>28800</v>
      </c>
      <c r="K24" s="2" t="str">
        <f t="shared" si="2"/>
        <v>Medium</v>
      </c>
      <c r="L24" s="4" t="s">
        <v>127</v>
      </c>
      <c r="M24" s="4"/>
      <c r="N24" s="4"/>
    </row>
    <row r="25" spans="1:14" x14ac:dyDescent="0.3">
      <c r="A25" s="2" t="s">
        <v>46</v>
      </c>
      <c r="B25" s="3">
        <v>46046</v>
      </c>
      <c r="C25" s="2" t="s">
        <v>28</v>
      </c>
      <c r="D25" s="2" t="s">
        <v>17</v>
      </c>
      <c r="E25" s="2" t="s">
        <v>24</v>
      </c>
      <c r="F25" s="2">
        <v>4</v>
      </c>
      <c r="G25" s="4">
        <v>2600</v>
      </c>
      <c r="H25" s="12">
        <f t="shared" si="0"/>
        <v>10400</v>
      </c>
      <c r="I25" s="5">
        <v>0.05</v>
      </c>
      <c r="J25" s="10">
        <f t="shared" si="1"/>
        <v>9880</v>
      </c>
      <c r="K25" s="2" t="str">
        <f t="shared" si="2"/>
        <v>Low</v>
      </c>
      <c r="L25" s="4" t="s">
        <v>127</v>
      </c>
      <c r="M25" s="4"/>
      <c r="N25" s="4"/>
    </row>
    <row r="26" spans="1:14" x14ac:dyDescent="0.3">
      <c r="A26" s="2" t="s">
        <v>47</v>
      </c>
      <c r="B26" s="3">
        <v>46047</v>
      </c>
      <c r="C26" s="2" t="s">
        <v>12</v>
      </c>
      <c r="D26" s="2" t="s">
        <v>13</v>
      </c>
      <c r="E26" s="2" t="s">
        <v>14</v>
      </c>
      <c r="F26" s="2">
        <v>1</v>
      </c>
      <c r="G26" s="4">
        <v>60000</v>
      </c>
      <c r="H26" s="12">
        <f t="shared" si="0"/>
        <v>60000</v>
      </c>
      <c r="I26" s="5">
        <v>0.15</v>
      </c>
      <c r="J26" s="10">
        <f t="shared" si="1"/>
        <v>51000</v>
      </c>
      <c r="K26" s="2" t="str">
        <f t="shared" si="2"/>
        <v>High</v>
      </c>
      <c r="L26" s="4" t="s">
        <v>126</v>
      </c>
      <c r="M26" s="4"/>
      <c r="N26" s="4"/>
    </row>
    <row r="27" spans="1:14" x14ac:dyDescent="0.3">
      <c r="A27" s="2" t="s">
        <v>48</v>
      </c>
      <c r="B27" s="3">
        <v>46048</v>
      </c>
      <c r="C27" s="2" t="s">
        <v>16</v>
      </c>
      <c r="D27" s="2" t="s">
        <v>17</v>
      </c>
      <c r="E27" s="2" t="s">
        <v>18</v>
      </c>
      <c r="F27" s="2">
        <v>9</v>
      </c>
      <c r="G27" s="4">
        <v>700</v>
      </c>
      <c r="H27" s="12">
        <f t="shared" si="0"/>
        <v>6300</v>
      </c>
      <c r="I27" s="5">
        <v>0.1</v>
      </c>
      <c r="J27" s="10">
        <f t="shared" si="1"/>
        <v>5670</v>
      </c>
      <c r="K27" s="2" t="str">
        <f t="shared" si="2"/>
        <v>Low</v>
      </c>
      <c r="L27" s="4" t="s">
        <v>127</v>
      </c>
      <c r="M27" s="4"/>
      <c r="N27" s="4"/>
    </row>
    <row r="28" spans="1:14" x14ac:dyDescent="0.3">
      <c r="A28" s="2" t="s">
        <v>49</v>
      </c>
      <c r="B28" s="3">
        <v>46049</v>
      </c>
      <c r="C28" s="2" t="s">
        <v>20</v>
      </c>
      <c r="D28" s="2" t="s">
        <v>17</v>
      </c>
      <c r="E28" s="2" t="s">
        <v>21</v>
      </c>
      <c r="F28" s="2">
        <v>7</v>
      </c>
      <c r="G28" s="4">
        <v>1350</v>
      </c>
      <c r="H28" s="12">
        <f t="shared" si="0"/>
        <v>9450</v>
      </c>
      <c r="I28" s="5">
        <v>0.05</v>
      </c>
      <c r="J28" s="10">
        <f t="shared" si="1"/>
        <v>8977.5</v>
      </c>
      <c r="K28" s="2" t="str">
        <f t="shared" si="2"/>
        <v>Low</v>
      </c>
      <c r="L28" s="4" t="s">
        <v>127</v>
      </c>
      <c r="M28" s="4"/>
      <c r="N28" s="4"/>
    </row>
    <row r="29" spans="1:14" x14ac:dyDescent="0.3">
      <c r="A29" s="2" t="s">
        <v>50</v>
      </c>
      <c r="B29" s="3">
        <v>46050</v>
      </c>
      <c r="C29" s="2" t="s">
        <v>23</v>
      </c>
      <c r="D29" s="2" t="s">
        <v>13</v>
      </c>
      <c r="E29" s="2" t="s">
        <v>24</v>
      </c>
      <c r="F29" s="2">
        <v>3</v>
      </c>
      <c r="G29" s="4">
        <v>11500</v>
      </c>
      <c r="H29" s="12">
        <f t="shared" si="0"/>
        <v>34500</v>
      </c>
      <c r="I29" s="5">
        <v>0.1</v>
      </c>
      <c r="J29" s="10">
        <f t="shared" si="1"/>
        <v>31050</v>
      </c>
      <c r="K29" s="2" t="str">
        <f t="shared" si="2"/>
        <v>Medium</v>
      </c>
      <c r="L29" s="4" t="s">
        <v>128</v>
      </c>
      <c r="M29" s="4"/>
      <c r="N29" s="4"/>
    </row>
    <row r="30" spans="1:14" x14ac:dyDescent="0.3">
      <c r="A30" s="2" t="s">
        <v>51</v>
      </c>
      <c r="B30" s="3">
        <v>46051</v>
      </c>
      <c r="C30" s="2" t="s">
        <v>26</v>
      </c>
      <c r="D30" s="2" t="s">
        <v>13</v>
      </c>
      <c r="E30" s="2" t="s">
        <v>14</v>
      </c>
      <c r="F30" s="2">
        <v>1</v>
      </c>
      <c r="G30" s="4">
        <v>14500</v>
      </c>
      <c r="H30" s="12">
        <f t="shared" si="0"/>
        <v>14500</v>
      </c>
      <c r="I30" s="5">
        <v>0.05</v>
      </c>
      <c r="J30" s="10">
        <f t="shared" si="1"/>
        <v>13775</v>
      </c>
      <c r="K30" s="2" t="str">
        <f t="shared" si="2"/>
        <v>Low</v>
      </c>
      <c r="L30" s="4" t="s">
        <v>127</v>
      </c>
      <c r="M30" s="4"/>
      <c r="N30" s="4"/>
    </row>
    <row r="31" spans="1:14" x14ac:dyDescent="0.3">
      <c r="A31" s="2" t="s">
        <v>52</v>
      </c>
      <c r="B31" s="3">
        <v>46052</v>
      </c>
      <c r="C31" s="2" t="s">
        <v>28</v>
      </c>
      <c r="D31" s="2" t="s">
        <v>17</v>
      </c>
      <c r="E31" s="2" t="s">
        <v>18</v>
      </c>
      <c r="F31" s="2">
        <v>6</v>
      </c>
      <c r="G31" s="4">
        <v>2400</v>
      </c>
      <c r="H31" s="12">
        <f t="shared" si="0"/>
        <v>14400</v>
      </c>
      <c r="I31" s="5">
        <v>0.15</v>
      </c>
      <c r="J31" s="10">
        <f t="shared" si="1"/>
        <v>12240</v>
      </c>
      <c r="K31" s="2" t="str">
        <f t="shared" si="2"/>
        <v>Low</v>
      </c>
      <c r="L31" s="4" t="s">
        <v>127</v>
      </c>
      <c r="M31" s="4"/>
      <c r="N31" s="4"/>
    </row>
    <row r="32" spans="1:14" x14ac:dyDescent="0.3">
      <c r="A32" s="2" t="s">
        <v>53</v>
      </c>
      <c r="B32" s="3">
        <v>46053</v>
      </c>
      <c r="C32" s="2" t="s">
        <v>12</v>
      </c>
      <c r="D32" s="2" t="s">
        <v>13</v>
      </c>
      <c r="E32" s="2" t="s">
        <v>21</v>
      </c>
      <c r="F32" s="2">
        <v>2</v>
      </c>
      <c r="G32" s="4">
        <v>51000</v>
      </c>
      <c r="H32" s="12">
        <f t="shared" si="0"/>
        <v>102000</v>
      </c>
      <c r="I32" s="5">
        <v>0.1</v>
      </c>
      <c r="J32" s="10">
        <f t="shared" si="1"/>
        <v>91800</v>
      </c>
      <c r="K32" s="2" t="str">
        <f t="shared" si="2"/>
        <v>High</v>
      </c>
      <c r="L32" s="4" t="s">
        <v>126</v>
      </c>
      <c r="M32" s="4"/>
      <c r="N32" s="4"/>
    </row>
    <row r="33" spans="1:14" x14ac:dyDescent="0.3">
      <c r="A33" s="2" t="s">
        <v>54</v>
      </c>
      <c r="B33" s="3">
        <v>46054</v>
      </c>
      <c r="C33" s="2" t="s">
        <v>16</v>
      </c>
      <c r="D33" s="2" t="s">
        <v>17</v>
      </c>
      <c r="E33" s="2" t="s">
        <v>24</v>
      </c>
      <c r="F33" s="2">
        <v>5</v>
      </c>
      <c r="G33" s="4">
        <v>820</v>
      </c>
      <c r="H33" s="12">
        <f t="shared" si="0"/>
        <v>4100</v>
      </c>
      <c r="I33" s="5">
        <v>0.05</v>
      </c>
      <c r="J33" s="10">
        <f t="shared" si="1"/>
        <v>3895</v>
      </c>
      <c r="K33" s="2" t="str">
        <f t="shared" si="2"/>
        <v>Low</v>
      </c>
      <c r="L33" s="4" t="s">
        <v>127</v>
      </c>
      <c r="M33" s="4"/>
      <c r="N33" s="4"/>
    </row>
    <row r="34" spans="1:14" x14ac:dyDescent="0.3">
      <c r="A34" s="2" t="s">
        <v>55</v>
      </c>
      <c r="B34" s="3">
        <v>46055</v>
      </c>
      <c r="C34" s="2" t="s">
        <v>20</v>
      </c>
      <c r="D34" s="2" t="s">
        <v>17</v>
      </c>
      <c r="E34" s="2" t="s">
        <v>14</v>
      </c>
      <c r="F34" s="2">
        <v>3</v>
      </c>
      <c r="G34" s="4">
        <v>1550</v>
      </c>
      <c r="H34" s="12">
        <f t="shared" si="0"/>
        <v>4650</v>
      </c>
      <c r="I34" s="5">
        <v>0.1</v>
      </c>
      <c r="J34" s="10">
        <f t="shared" si="1"/>
        <v>4185</v>
      </c>
      <c r="K34" s="2" t="str">
        <f t="shared" si="2"/>
        <v>Low</v>
      </c>
      <c r="L34" s="4" t="s">
        <v>127</v>
      </c>
      <c r="M34" s="4"/>
      <c r="N34" s="4"/>
    </row>
    <row r="35" spans="1:14" x14ac:dyDescent="0.3">
      <c r="A35" s="2" t="s">
        <v>56</v>
      </c>
      <c r="B35" s="3">
        <v>46056</v>
      </c>
      <c r="C35" s="2" t="s">
        <v>23</v>
      </c>
      <c r="D35" s="2" t="s">
        <v>13</v>
      </c>
      <c r="E35" s="2" t="s">
        <v>18</v>
      </c>
      <c r="F35" s="2">
        <v>2</v>
      </c>
      <c r="G35" s="4">
        <v>11800</v>
      </c>
      <c r="H35" s="12">
        <f t="shared" si="0"/>
        <v>23600</v>
      </c>
      <c r="I35" s="5">
        <v>0.05</v>
      </c>
      <c r="J35" s="10">
        <f t="shared" si="1"/>
        <v>22420</v>
      </c>
      <c r="K35" s="2" t="str">
        <f t="shared" si="2"/>
        <v>Low</v>
      </c>
      <c r="L35" s="4" t="s">
        <v>127</v>
      </c>
      <c r="M35" s="4"/>
      <c r="N35" s="4"/>
    </row>
    <row r="36" spans="1:14" x14ac:dyDescent="0.3">
      <c r="A36" s="2" t="s">
        <v>57</v>
      </c>
      <c r="B36" s="3">
        <v>46057</v>
      </c>
      <c r="C36" s="2" t="s">
        <v>26</v>
      </c>
      <c r="D36" s="2" t="s">
        <v>13</v>
      </c>
      <c r="E36" s="2" t="s">
        <v>21</v>
      </c>
      <c r="F36" s="2">
        <v>3</v>
      </c>
      <c r="G36" s="4">
        <v>15000</v>
      </c>
      <c r="H36" s="12">
        <f t="shared" si="0"/>
        <v>45000</v>
      </c>
      <c r="I36" s="5">
        <v>0.1</v>
      </c>
      <c r="J36" s="10">
        <f t="shared" si="1"/>
        <v>40500</v>
      </c>
      <c r="K36" s="2" t="str">
        <f t="shared" si="2"/>
        <v>Medium</v>
      </c>
      <c r="L36" s="4" t="s">
        <v>128</v>
      </c>
      <c r="M36" s="4"/>
      <c r="N36" s="4"/>
    </row>
    <row r="37" spans="1:14" x14ac:dyDescent="0.3">
      <c r="A37" s="2" t="s">
        <v>58</v>
      </c>
      <c r="B37" s="3">
        <v>46058</v>
      </c>
      <c r="C37" s="2" t="s">
        <v>28</v>
      </c>
      <c r="D37" s="2" t="s">
        <v>17</v>
      </c>
      <c r="E37" s="2" t="s">
        <v>24</v>
      </c>
      <c r="F37" s="2">
        <v>8</v>
      </c>
      <c r="G37" s="4">
        <v>2300</v>
      </c>
      <c r="H37" s="12">
        <f t="shared" si="0"/>
        <v>18400</v>
      </c>
      <c r="I37" s="5">
        <v>0.05</v>
      </c>
      <c r="J37" s="10">
        <f t="shared" si="1"/>
        <v>17480</v>
      </c>
      <c r="K37" s="2" t="str">
        <f t="shared" si="2"/>
        <v>Low</v>
      </c>
      <c r="L37" s="4" t="s">
        <v>127</v>
      </c>
      <c r="M37" s="4"/>
      <c r="N37" s="4"/>
    </row>
    <row r="38" spans="1:14" x14ac:dyDescent="0.3">
      <c r="A38" s="2" t="s">
        <v>59</v>
      </c>
      <c r="B38" s="3">
        <v>46059</v>
      </c>
      <c r="C38" s="2" t="s">
        <v>12</v>
      </c>
      <c r="D38" s="2" t="s">
        <v>13</v>
      </c>
      <c r="E38" s="2" t="s">
        <v>14</v>
      </c>
      <c r="F38" s="2">
        <v>2</v>
      </c>
      <c r="G38" s="4">
        <v>53000</v>
      </c>
      <c r="H38" s="12">
        <f t="shared" si="0"/>
        <v>106000</v>
      </c>
      <c r="I38" s="5">
        <v>0.15</v>
      </c>
      <c r="J38" s="10">
        <f t="shared" si="1"/>
        <v>90100</v>
      </c>
      <c r="K38" s="2" t="str">
        <f t="shared" si="2"/>
        <v>High</v>
      </c>
      <c r="L38" s="4" t="s">
        <v>126</v>
      </c>
      <c r="M38" s="4"/>
      <c r="N38" s="4"/>
    </row>
    <row r="39" spans="1:14" x14ac:dyDescent="0.3">
      <c r="A39" s="2" t="s">
        <v>60</v>
      </c>
      <c r="B39" s="3">
        <v>46060</v>
      </c>
      <c r="C39" s="2" t="s">
        <v>16</v>
      </c>
      <c r="D39" s="2" t="s">
        <v>17</v>
      </c>
      <c r="E39" s="2" t="s">
        <v>18</v>
      </c>
      <c r="F39" s="2">
        <v>7</v>
      </c>
      <c r="G39" s="4">
        <v>780</v>
      </c>
      <c r="H39" s="12">
        <f t="shared" si="0"/>
        <v>5460</v>
      </c>
      <c r="I39" s="5">
        <v>0.1</v>
      </c>
      <c r="J39" s="10">
        <f t="shared" si="1"/>
        <v>4914</v>
      </c>
      <c r="K39" s="2" t="str">
        <f t="shared" si="2"/>
        <v>Low</v>
      </c>
      <c r="L39" s="4" t="s">
        <v>127</v>
      </c>
      <c r="M39" s="4"/>
      <c r="N39" s="4"/>
    </row>
    <row r="40" spans="1:14" x14ac:dyDescent="0.3">
      <c r="A40" s="2" t="s">
        <v>61</v>
      </c>
      <c r="B40" s="3">
        <v>46061</v>
      </c>
      <c r="C40" s="2" t="s">
        <v>20</v>
      </c>
      <c r="D40" s="2" t="s">
        <v>17</v>
      </c>
      <c r="E40" s="2" t="s">
        <v>21</v>
      </c>
      <c r="F40" s="2">
        <v>5</v>
      </c>
      <c r="G40" s="4">
        <v>1450</v>
      </c>
      <c r="H40" s="12">
        <f t="shared" si="0"/>
        <v>7250</v>
      </c>
      <c r="I40" s="5">
        <v>0.05</v>
      </c>
      <c r="J40" s="10">
        <f t="shared" si="1"/>
        <v>6887.5</v>
      </c>
      <c r="K40" s="2" t="str">
        <f t="shared" si="2"/>
        <v>Low</v>
      </c>
      <c r="L40" s="4" t="s">
        <v>127</v>
      </c>
      <c r="M40" s="4"/>
      <c r="N40" s="4"/>
    </row>
    <row r="41" spans="1:14" x14ac:dyDescent="0.3">
      <c r="A41" s="2" t="s">
        <v>62</v>
      </c>
      <c r="B41" s="3">
        <v>46062</v>
      </c>
      <c r="C41" s="2" t="s">
        <v>23</v>
      </c>
      <c r="D41" s="2" t="s">
        <v>13</v>
      </c>
      <c r="E41" s="2" t="s">
        <v>24</v>
      </c>
      <c r="F41" s="2">
        <v>1</v>
      </c>
      <c r="G41" s="4">
        <v>12200</v>
      </c>
      <c r="H41" s="12">
        <f t="shared" si="0"/>
        <v>12200</v>
      </c>
      <c r="I41" s="5">
        <v>0.1</v>
      </c>
      <c r="J41" s="10">
        <f t="shared" si="1"/>
        <v>10980</v>
      </c>
      <c r="K41" s="2" t="str">
        <f t="shared" si="2"/>
        <v>Low</v>
      </c>
      <c r="L41" s="4" t="s">
        <v>127</v>
      </c>
      <c r="M41" s="4"/>
      <c r="N41" s="4"/>
    </row>
    <row r="42" spans="1:14" x14ac:dyDescent="0.3">
      <c r="A42" s="2" t="s">
        <v>63</v>
      </c>
      <c r="B42" s="3">
        <v>46063</v>
      </c>
      <c r="C42" s="2" t="s">
        <v>26</v>
      </c>
      <c r="D42" s="2" t="s">
        <v>13</v>
      </c>
      <c r="E42" s="2" t="s">
        <v>14</v>
      </c>
      <c r="F42" s="2">
        <v>2</v>
      </c>
      <c r="G42" s="4">
        <v>15200</v>
      </c>
      <c r="H42" s="12">
        <f t="shared" si="0"/>
        <v>30400</v>
      </c>
      <c r="I42" s="5">
        <v>0.05</v>
      </c>
      <c r="J42" s="10">
        <f t="shared" si="1"/>
        <v>28880</v>
      </c>
      <c r="K42" s="2" t="str">
        <f t="shared" si="2"/>
        <v>Medium</v>
      </c>
      <c r="L42" s="4" t="s">
        <v>127</v>
      </c>
      <c r="M42" s="4"/>
      <c r="N42" s="4"/>
    </row>
    <row r="43" spans="1:14" x14ac:dyDescent="0.3">
      <c r="A43" s="2" t="s">
        <v>64</v>
      </c>
      <c r="B43" s="3">
        <v>46064</v>
      </c>
      <c r="C43" s="2" t="s">
        <v>28</v>
      </c>
      <c r="D43" s="2" t="s">
        <v>17</v>
      </c>
      <c r="E43" s="2" t="s">
        <v>18</v>
      </c>
      <c r="F43" s="2">
        <v>5</v>
      </c>
      <c r="G43" s="4">
        <v>2700</v>
      </c>
      <c r="H43" s="12">
        <f t="shared" si="0"/>
        <v>13500</v>
      </c>
      <c r="I43" s="5">
        <v>0.15</v>
      </c>
      <c r="J43" s="10">
        <f t="shared" si="1"/>
        <v>11475</v>
      </c>
      <c r="K43" s="2" t="str">
        <f t="shared" si="2"/>
        <v>Low</v>
      </c>
      <c r="L43" s="4" t="s">
        <v>127</v>
      </c>
      <c r="M43" s="4"/>
      <c r="N43" s="4"/>
    </row>
    <row r="44" spans="1:14" x14ac:dyDescent="0.3">
      <c r="A44" s="2" t="s">
        <v>65</v>
      </c>
      <c r="B44" s="3">
        <v>46065</v>
      </c>
      <c r="C44" s="2" t="s">
        <v>12</v>
      </c>
      <c r="D44" s="2" t="s">
        <v>13</v>
      </c>
      <c r="E44" s="2" t="s">
        <v>21</v>
      </c>
      <c r="F44" s="2">
        <v>3</v>
      </c>
      <c r="G44" s="4">
        <v>49000</v>
      </c>
      <c r="H44" s="12">
        <f t="shared" si="0"/>
        <v>147000</v>
      </c>
      <c r="I44" s="5">
        <v>0.1</v>
      </c>
      <c r="J44" s="10">
        <f t="shared" si="1"/>
        <v>132300</v>
      </c>
      <c r="K44" s="2" t="str">
        <f t="shared" si="2"/>
        <v>High</v>
      </c>
      <c r="L44" s="4" t="s">
        <v>126</v>
      </c>
      <c r="M44" s="4"/>
      <c r="N44" s="4"/>
    </row>
    <row r="45" spans="1:14" x14ac:dyDescent="0.3">
      <c r="A45" s="2" t="s">
        <v>66</v>
      </c>
      <c r="B45" s="3">
        <v>46066</v>
      </c>
      <c r="C45" s="2" t="s">
        <v>16</v>
      </c>
      <c r="D45" s="2" t="s">
        <v>17</v>
      </c>
      <c r="E45" s="2" t="s">
        <v>24</v>
      </c>
      <c r="F45" s="2">
        <v>8</v>
      </c>
      <c r="G45" s="4">
        <v>860</v>
      </c>
      <c r="H45" s="12">
        <f t="shared" si="0"/>
        <v>6880</v>
      </c>
      <c r="I45" s="5">
        <v>0.05</v>
      </c>
      <c r="J45" s="10">
        <f t="shared" si="1"/>
        <v>6536</v>
      </c>
      <c r="K45" s="2" t="str">
        <f t="shared" si="2"/>
        <v>Low</v>
      </c>
      <c r="L45" s="4" t="s">
        <v>127</v>
      </c>
      <c r="M45" s="4"/>
      <c r="N45" s="4"/>
    </row>
    <row r="46" spans="1:14" x14ac:dyDescent="0.3">
      <c r="A46" s="2" t="s">
        <v>67</v>
      </c>
      <c r="B46" s="3">
        <v>46067</v>
      </c>
      <c r="C46" s="2" t="s">
        <v>20</v>
      </c>
      <c r="D46" s="2" t="s">
        <v>17</v>
      </c>
      <c r="E46" s="2" t="s">
        <v>14</v>
      </c>
      <c r="F46" s="2">
        <v>4</v>
      </c>
      <c r="G46" s="4">
        <v>1300</v>
      </c>
      <c r="H46" s="12">
        <f t="shared" si="0"/>
        <v>5200</v>
      </c>
      <c r="I46" s="5">
        <v>0.1</v>
      </c>
      <c r="J46" s="10">
        <f t="shared" si="1"/>
        <v>4680</v>
      </c>
      <c r="K46" s="2" t="str">
        <f t="shared" si="2"/>
        <v>Low</v>
      </c>
      <c r="L46" s="4" t="s">
        <v>127</v>
      </c>
      <c r="M46" s="4"/>
      <c r="N46" s="4"/>
    </row>
    <row r="47" spans="1:14" x14ac:dyDescent="0.3">
      <c r="A47" s="2" t="s">
        <v>68</v>
      </c>
      <c r="B47" s="3">
        <v>46068</v>
      </c>
      <c r="C47" s="2" t="s">
        <v>23</v>
      </c>
      <c r="D47" s="2" t="s">
        <v>13</v>
      </c>
      <c r="E47" s="2" t="s">
        <v>18</v>
      </c>
      <c r="F47" s="2">
        <v>2</v>
      </c>
      <c r="G47" s="4">
        <v>12800</v>
      </c>
      <c r="H47" s="12">
        <f t="shared" si="0"/>
        <v>25600</v>
      </c>
      <c r="I47" s="5">
        <v>0.05</v>
      </c>
      <c r="J47" s="10">
        <f t="shared" si="1"/>
        <v>24320</v>
      </c>
      <c r="K47" s="2" t="str">
        <f t="shared" si="2"/>
        <v>Low</v>
      </c>
      <c r="L47" s="4" t="s">
        <v>127</v>
      </c>
      <c r="M47" s="4"/>
      <c r="N47" s="4"/>
    </row>
    <row r="48" spans="1:14" x14ac:dyDescent="0.3">
      <c r="A48" s="2" t="s">
        <v>69</v>
      </c>
      <c r="B48" s="3">
        <v>46069</v>
      </c>
      <c r="C48" s="2" t="s">
        <v>26</v>
      </c>
      <c r="D48" s="2" t="s">
        <v>13</v>
      </c>
      <c r="E48" s="2" t="s">
        <v>21</v>
      </c>
      <c r="F48" s="2">
        <v>1</v>
      </c>
      <c r="G48" s="4">
        <v>14800</v>
      </c>
      <c r="H48" s="12">
        <f t="shared" si="0"/>
        <v>14800</v>
      </c>
      <c r="I48" s="5">
        <v>0.1</v>
      </c>
      <c r="J48" s="10">
        <f t="shared" si="1"/>
        <v>13320</v>
      </c>
      <c r="K48" s="2" t="str">
        <f t="shared" si="2"/>
        <v>Low</v>
      </c>
      <c r="L48" s="4" t="s">
        <v>127</v>
      </c>
      <c r="M48" s="4"/>
      <c r="N48" s="4"/>
    </row>
    <row r="49" spans="1:14" x14ac:dyDescent="0.3">
      <c r="A49" s="2" t="s">
        <v>70</v>
      </c>
      <c r="B49" s="3">
        <v>46070</v>
      </c>
      <c r="C49" s="2" t="s">
        <v>28</v>
      </c>
      <c r="D49" s="2" t="s">
        <v>17</v>
      </c>
      <c r="E49" s="2" t="s">
        <v>24</v>
      </c>
      <c r="F49" s="2">
        <v>6</v>
      </c>
      <c r="G49" s="4">
        <v>2500</v>
      </c>
      <c r="H49" s="12">
        <f t="shared" si="0"/>
        <v>15000</v>
      </c>
      <c r="I49" s="5">
        <v>0.05</v>
      </c>
      <c r="J49" s="10">
        <f t="shared" si="1"/>
        <v>14250</v>
      </c>
      <c r="K49" s="2" t="str">
        <f t="shared" si="2"/>
        <v>Low</v>
      </c>
      <c r="L49" s="4" t="s">
        <v>127</v>
      </c>
      <c r="M49" s="4"/>
      <c r="N49" s="4"/>
    </row>
    <row r="50" spans="1:14" x14ac:dyDescent="0.3">
      <c r="A50" s="2" t="s">
        <v>71</v>
      </c>
      <c r="B50" s="3">
        <v>46071</v>
      </c>
      <c r="C50" s="2" t="s">
        <v>12</v>
      </c>
      <c r="D50" s="2" t="s">
        <v>13</v>
      </c>
      <c r="E50" s="2" t="s">
        <v>14</v>
      </c>
      <c r="F50" s="2">
        <v>2</v>
      </c>
      <c r="G50" s="4">
        <v>54000</v>
      </c>
      <c r="H50" s="12">
        <f t="shared" si="0"/>
        <v>108000</v>
      </c>
      <c r="I50" s="5">
        <v>0.15</v>
      </c>
      <c r="J50" s="10">
        <f t="shared" si="1"/>
        <v>91800</v>
      </c>
      <c r="K50" s="2" t="str">
        <f t="shared" si="2"/>
        <v>High</v>
      </c>
      <c r="L50" s="4" t="s">
        <v>126</v>
      </c>
      <c r="M50" s="4"/>
      <c r="N50" s="4"/>
    </row>
    <row r="51" spans="1:14" x14ac:dyDescent="0.3">
      <c r="A51" s="2" t="s">
        <v>72</v>
      </c>
      <c r="B51" s="3">
        <v>46072</v>
      </c>
      <c r="C51" s="2" t="s">
        <v>16</v>
      </c>
      <c r="D51" s="2" t="s">
        <v>17</v>
      </c>
      <c r="E51" s="2" t="s">
        <v>18</v>
      </c>
      <c r="F51" s="2">
        <v>10</v>
      </c>
      <c r="G51" s="4">
        <v>720</v>
      </c>
      <c r="H51" s="12">
        <f t="shared" si="0"/>
        <v>7200</v>
      </c>
      <c r="I51" s="5">
        <v>0.1</v>
      </c>
      <c r="J51" s="10">
        <f t="shared" si="1"/>
        <v>6480</v>
      </c>
      <c r="K51" s="2" t="str">
        <f t="shared" si="2"/>
        <v>Low</v>
      </c>
      <c r="L51" s="4" t="s">
        <v>127</v>
      </c>
      <c r="M51" s="4"/>
      <c r="N51" s="4"/>
    </row>
    <row r="52" spans="1:14" x14ac:dyDescent="0.3">
      <c r="A52" s="2" t="s">
        <v>73</v>
      </c>
      <c r="B52" s="3">
        <v>46073</v>
      </c>
      <c r="C52" s="2" t="s">
        <v>20</v>
      </c>
      <c r="D52" s="2" t="s">
        <v>17</v>
      </c>
      <c r="E52" s="2" t="s">
        <v>21</v>
      </c>
      <c r="F52" s="2">
        <v>6</v>
      </c>
      <c r="G52" s="4">
        <v>1500</v>
      </c>
      <c r="H52" s="12">
        <f t="shared" si="0"/>
        <v>9000</v>
      </c>
      <c r="I52" s="5">
        <v>0.05</v>
      </c>
      <c r="J52" s="10">
        <f t="shared" si="1"/>
        <v>8550</v>
      </c>
      <c r="K52" s="2" t="str">
        <f t="shared" si="2"/>
        <v>Low</v>
      </c>
      <c r="L52" s="4" t="s">
        <v>127</v>
      </c>
      <c r="M52" s="4"/>
      <c r="N52" s="4"/>
    </row>
    <row r="53" spans="1:14" x14ac:dyDescent="0.3">
      <c r="A53" s="2" t="s">
        <v>74</v>
      </c>
      <c r="B53" s="3">
        <v>46074</v>
      </c>
      <c r="C53" s="2" t="s">
        <v>23</v>
      </c>
      <c r="D53" s="2" t="s">
        <v>13</v>
      </c>
      <c r="E53" s="2" t="s">
        <v>24</v>
      </c>
      <c r="F53" s="2">
        <v>3</v>
      </c>
      <c r="G53" s="4">
        <v>11600</v>
      </c>
      <c r="H53" s="12">
        <f t="shared" si="0"/>
        <v>34800</v>
      </c>
      <c r="I53" s="5">
        <v>0.1</v>
      </c>
      <c r="J53" s="10">
        <f t="shared" si="1"/>
        <v>31320</v>
      </c>
      <c r="K53" s="2" t="str">
        <f t="shared" si="2"/>
        <v>Medium</v>
      </c>
      <c r="L53" s="4" t="s">
        <v>128</v>
      </c>
      <c r="M53" s="4"/>
      <c r="N53" s="4"/>
    </row>
    <row r="54" spans="1:14" x14ac:dyDescent="0.3">
      <c r="A54" s="2" t="s">
        <v>75</v>
      </c>
      <c r="B54" s="3">
        <v>46075</v>
      </c>
      <c r="C54" s="2" t="s">
        <v>26</v>
      </c>
      <c r="D54" s="2" t="s">
        <v>13</v>
      </c>
      <c r="E54" s="2" t="s">
        <v>14</v>
      </c>
      <c r="F54" s="2">
        <v>2</v>
      </c>
      <c r="G54" s="4">
        <v>15800</v>
      </c>
      <c r="H54" s="12">
        <f t="shared" si="0"/>
        <v>31600</v>
      </c>
      <c r="I54" s="5">
        <v>0.05</v>
      </c>
      <c r="J54" s="10">
        <f t="shared" si="1"/>
        <v>30020</v>
      </c>
      <c r="K54" s="2" t="str">
        <f t="shared" si="2"/>
        <v>Medium</v>
      </c>
      <c r="L54" s="4" t="s">
        <v>128</v>
      </c>
      <c r="M54" s="4"/>
      <c r="N54" s="4"/>
    </row>
    <row r="55" spans="1:14" x14ac:dyDescent="0.3">
      <c r="A55" s="2" t="s">
        <v>76</v>
      </c>
      <c r="B55" s="3">
        <v>46076</v>
      </c>
      <c r="C55" s="2" t="s">
        <v>28</v>
      </c>
      <c r="D55" s="2" t="s">
        <v>17</v>
      </c>
      <c r="E55" s="2" t="s">
        <v>18</v>
      </c>
      <c r="F55" s="2">
        <v>4</v>
      </c>
      <c r="G55" s="4">
        <v>2900</v>
      </c>
      <c r="H55" s="12">
        <f t="shared" si="0"/>
        <v>11600</v>
      </c>
      <c r="I55" s="5">
        <v>0.15</v>
      </c>
      <c r="J55" s="10">
        <f t="shared" si="1"/>
        <v>9860</v>
      </c>
      <c r="K55" s="2" t="str">
        <f t="shared" si="2"/>
        <v>Low</v>
      </c>
      <c r="L55" s="4" t="s">
        <v>127</v>
      </c>
      <c r="M55" s="4"/>
      <c r="N55" s="4"/>
    </row>
    <row r="56" spans="1:14" x14ac:dyDescent="0.3">
      <c r="A56" s="2" t="s">
        <v>77</v>
      </c>
      <c r="B56" s="3">
        <v>46077</v>
      </c>
      <c r="C56" s="2" t="s">
        <v>12</v>
      </c>
      <c r="D56" s="2" t="s">
        <v>13</v>
      </c>
      <c r="E56" s="2" t="s">
        <v>21</v>
      </c>
      <c r="F56" s="2">
        <v>1</v>
      </c>
      <c r="G56" s="4">
        <v>57000</v>
      </c>
      <c r="H56" s="12">
        <f t="shared" si="0"/>
        <v>57000</v>
      </c>
      <c r="I56" s="5">
        <v>0.1</v>
      </c>
      <c r="J56" s="10">
        <f t="shared" si="1"/>
        <v>51300</v>
      </c>
      <c r="K56" s="2" t="str">
        <f t="shared" si="2"/>
        <v>High</v>
      </c>
      <c r="L56" s="4" t="s">
        <v>126</v>
      </c>
      <c r="M56" s="4"/>
      <c r="N56" s="4"/>
    </row>
    <row r="57" spans="1:14" x14ac:dyDescent="0.3">
      <c r="A57" s="2" t="s">
        <v>78</v>
      </c>
      <c r="B57" s="3">
        <v>46078</v>
      </c>
      <c r="C57" s="2" t="s">
        <v>16</v>
      </c>
      <c r="D57" s="2" t="s">
        <v>17</v>
      </c>
      <c r="E57" s="2" t="s">
        <v>24</v>
      </c>
      <c r="F57" s="2">
        <v>7</v>
      </c>
      <c r="G57" s="4">
        <v>880</v>
      </c>
      <c r="H57" s="12">
        <f t="shared" si="0"/>
        <v>6160</v>
      </c>
      <c r="I57" s="5">
        <v>0.05</v>
      </c>
      <c r="J57" s="10">
        <f t="shared" si="1"/>
        <v>5852</v>
      </c>
      <c r="K57" s="2" t="str">
        <f t="shared" si="2"/>
        <v>Low</v>
      </c>
      <c r="L57" s="4" t="s">
        <v>127</v>
      </c>
      <c r="M57" s="4"/>
      <c r="N57" s="4"/>
    </row>
    <row r="58" spans="1:14" x14ac:dyDescent="0.3">
      <c r="A58" s="2" t="s">
        <v>79</v>
      </c>
      <c r="B58" s="3">
        <v>46079</v>
      </c>
      <c r="C58" s="2" t="s">
        <v>20</v>
      </c>
      <c r="D58" s="2" t="s">
        <v>17</v>
      </c>
      <c r="E58" s="2" t="s">
        <v>14</v>
      </c>
      <c r="F58" s="2">
        <v>5</v>
      </c>
      <c r="G58" s="4">
        <v>1250</v>
      </c>
      <c r="H58" s="12">
        <f t="shared" si="0"/>
        <v>6250</v>
      </c>
      <c r="I58" s="5">
        <v>0.1</v>
      </c>
      <c r="J58" s="10">
        <f t="shared" si="1"/>
        <v>5625</v>
      </c>
      <c r="K58" s="2" t="str">
        <f t="shared" si="2"/>
        <v>Low</v>
      </c>
      <c r="L58" s="4" t="s">
        <v>127</v>
      </c>
      <c r="M58" s="4"/>
      <c r="N58" s="4"/>
    </row>
    <row r="59" spans="1:14" x14ac:dyDescent="0.3">
      <c r="A59" s="2" t="s">
        <v>80</v>
      </c>
      <c r="B59" s="3">
        <v>46080</v>
      </c>
      <c r="C59" s="2" t="s">
        <v>23</v>
      </c>
      <c r="D59" s="2" t="s">
        <v>13</v>
      </c>
      <c r="E59" s="2" t="s">
        <v>18</v>
      </c>
      <c r="F59" s="2">
        <v>2</v>
      </c>
      <c r="G59" s="4">
        <v>11900</v>
      </c>
      <c r="H59" s="12">
        <f t="shared" si="0"/>
        <v>23800</v>
      </c>
      <c r="I59" s="5">
        <v>0.05</v>
      </c>
      <c r="J59" s="10">
        <f t="shared" si="1"/>
        <v>22610</v>
      </c>
      <c r="K59" s="2" t="str">
        <f t="shared" si="2"/>
        <v>Low</v>
      </c>
      <c r="L59" s="4" t="s">
        <v>127</v>
      </c>
      <c r="M59" s="4"/>
      <c r="N59" s="4"/>
    </row>
    <row r="60" spans="1:14" x14ac:dyDescent="0.3">
      <c r="A60" s="2" t="s">
        <v>81</v>
      </c>
      <c r="B60" s="3">
        <v>46081</v>
      </c>
      <c r="C60" s="2" t="s">
        <v>26</v>
      </c>
      <c r="D60" s="2" t="s">
        <v>13</v>
      </c>
      <c r="E60" s="2" t="s">
        <v>21</v>
      </c>
      <c r="F60" s="2">
        <v>3</v>
      </c>
      <c r="G60" s="4">
        <v>14200</v>
      </c>
      <c r="H60" s="12">
        <f t="shared" si="0"/>
        <v>42600</v>
      </c>
      <c r="I60" s="5">
        <v>0.1</v>
      </c>
      <c r="J60" s="10">
        <f t="shared" si="1"/>
        <v>38340</v>
      </c>
      <c r="K60" s="2" t="str">
        <f t="shared" si="2"/>
        <v>Medium</v>
      </c>
      <c r="L60" s="4" t="s">
        <v>128</v>
      </c>
      <c r="M60" s="4"/>
      <c r="N60" s="4"/>
    </row>
    <row r="61" spans="1:14" x14ac:dyDescent="0.3">
      <c r="A61" s="2" t="s">
        <v>82</v>
      </c>
      <c r="B61" s="3">
        <v>46082</v>
      </c>
      <c r="C61" s="2" t="s">
        <v>28</v>
      </c>
      <c r="D61" s="2" t="s">
        <v>17</v>
      </c>
      <c r="E61" s="2" t="s">
        <v>24</v>
      </c>
      <c r="F61" s="2">
        <v>5</v>
      </c>
      <c r="G61" s="4">
        <v>2750</v>
      </c>
      <c r="H61" s="12">
        <f t="shared" si="0"/>
        <v>13750</v>
      </c>
      <c r="I61" s="5">
        <v>0.05</v>
      </c>
      <c r="J61" s="10">
        <f t="shared" si="1"/>
        <v>13062.5</v>
      </c>
      <c r="K61" s="2" t="str">
        <f t="shared" si="2"/>
        <v>Low</v>
      </c>
      <c r="L61" s="4" t="s">
        <v>127</v>
      </c>
      <c r="M61" s="4"/>
      <c r="N61" s="4"/>
    </row>
    <row r="62" spans="1:14" x14ac:dyDescent="0.3">
      <c r="A62" s="2" t="s">
        <v>83</v>
      </c>
      <c r="B62" s="3">
        <v>46083</v>
      </c>
      <c r="C62" s="2" t="s">
        <v>12</v>
      </c>
      <c r="D62" s="2" t="s">
        <v>13</v>
      </c>
      <c r="E62" s="2" t="s">
        <v>14</v>
      </c>
      <c r="F62" s="2">
        <v>2</v>
      </c>
      <c r="G62" s="4">
        <v>50000</v>
      </c>
      <c r="H62" s="12">
        <f t="shared" si="0"/>
        <v>100000</v>
      </c>
      <c r="I62" s="5">
        <v>0.15</v>
      </c>
      <c r="J62" s="10">
        <f t="shared" si="1"/>
        <v>85000</v>
      </c>
      <c r="K62" s="2" t="str">
        <f t="shared" si="2"/>
        <v>High</v>
      </c>
      <c r="L62" s="4" t="s">
        <v>126</v>
      </c>
      <c r="M62" s="4"/>
      <c r="N62" s="4"/>
    </row>
    <row r="63" spans="1:14" x14ac:dyDescent="0.3">
      <c r="A63" s="2" t="s">
        <v>84</v>
      </c>
      <c r="B63" s="3">
        <v>46084</v>
      </c>
      <c r="C63" s="2" t="s">
        <v>16</v>
      </c>
      <c r="D63" s="2" t="s">
        <v>17</v>
      </c>
      <c r="E63" s="2" t="s">
        <v>18</v>
      </c>
      <c r="F63" s="2">
        <v>6</v>
      </c>
      <c r="G63" s="4">
        <v>810</v>
      </c>
      <c r="H63" s="12">
        <f t="shared" si="0"/>
        <v>4860</v>
      </c>
      <c r="I63" s="5">
        <v>0.1</v>
      </c>
      <c r="J63" s="10">
        <f t="shared" si="1"/>
        <v>4374</v>
      </c>
      <c r="K63" s="2" t="str">
        <f t="shared" si="2"/>
        <v>Low</v>
      </c>
      <c r="L63" s="4" t="s">
        <v>127</v>
      </c>
      <c r="M63" s="4"/>
      <c r="N63" s="4"/>
    </row>
    <row r="64" spans="1:14" x14ac:dyDescent="0.3">
      <c r="A64" s="2" t="s">
        <v>85</v>
      </c>
      <c r="B64" s="3">
        <v>46085</v>
      </c>
      <c r="C64" s="2" t="s">
        <v>20</v>
      </c>
      <c r="D64" s="2" t="s">
        <v>17</v>
      </c>
      <c r="E64" s="2" t="s">
        <v>21</v>
      </c>
      <c r="F64" s="2">
        <v>4</v>
      </c>
      <c r="G64" s="4">
        <v>1550</v>
      </c>
      <c r="H64" s="12">
        <f t="shared" si="0"/>
        <v>6200</v>
      </c>
      <c r="I64" s="5">
        <v>0.05</v>
      </c>
      <c r="J64" s="10">
        <f t="shared" si="1"/>
        <v>5890</v>
      </c>
      <c r="K64" s="2" t="str">
        <f t="shared" si="2"/>
        <v>Low</v>
      </c>
      <c r="L64" s="4" t="s">
        <v>127</v>
      </c>
      <c r="M64" s="4"/>
      <c r="N64" s="4"/>
    </row>
    <row r="65" spans="1:14" x14ac:dyDescent="0.3">
      <c r="A65" s="2" t="s">
        <v>86</v>
      </c>
      <c r="B65" s="3">
        <v>46086</v>
      </c>
      <c r="C65" s="2" t="s">
        <v>23</v>
      </c>
      <c r="D65" s="2" t="s">
        <v>13</v>
      </c>
      <c r="E65" s="2" t="s">
        <v>24</v>
      </c>
      <c r="F65" s="2">
        <v>2</v>
      </c>
      <c r="G65" s="4">
        <v>12100</v>
      </c>
      <c r="H65" s="12">
        <f t="shared" si="0"/>
        <v>24200</v>
      </c>
      <c r="I65" s="5">
        <v>0.1</v>
      </c>
      <c r="J65" s="10">
        <f t="shared" si="1"/>
        <v>21780</v>
      </c>
      <c r="K65" s="2" t="str">
        <f t="shared" si="2"/>
        <v>Low</v>
      </c>
      <c r="L65" s="4" t="s">
        <v>127</v>
      </c>
      <c r="M65" s="4"/>
      <c r="N65" s="4"/>
    </row>
    <row r="66" spans="1:14" x14ac:dyDescent="0.3">
      <c r="A66" s="2" t="s">
        <v>87</v>
      </c>
      <c r="B66" s="3">
        <v>46087</v>
      </c>
      <c r="C66" s="2" t="s">
        <v>26</v>
      </c>
      <c r="D66" s="2" t="s">
        <v>13</v>
      </c>
      <c r="E66" s="2" t="s">
        <v>14</v>
      </c>
      <c r="F66" s="2">
        <v>1</v>
      </c>
      <c r="G66" s="4">
        <v>15000</v>
      </c>
      <c r="H66" s="12">
        <f t="shared" ref="H66:H101" si="3">F66*G66</f>
        <v>15000</v>
      </c>
      <c r="I66" s="5">
        <v>0.05</v>
      </c>
      <c r="J66" s="10">
        <f t="shared" ref="J66:J101" si="4">H66-(H66*I66)</f>
        <v>14250</v>
      </c>
      <c r="K66" s="2" t="str">
        <f t="shared" ref="K66:K101" si="5">IF(J66&gt;=50000,"High",IF(J66&gt;=25000,"Medium","Low"))</f>
        <v>Low</v>
      </c>
      <c r="L66" s="4" t="s">
        <v>127</v>
      </c>
      <c r="M66" s="4"/>
      <c r="N66" s="4"/>
    </row>
    <row r="67" spans="1:14" x14ac:dyDescent="0.3">
      <c r="A67" s="2" t="s">
        <v>88</v>
      </c>
      <c r="B67" s="3">
        <v>46088</v>
      </c>
      <c r="C67" s="2" t="s">
        <v>28</v>
      </c>
      <c r="D67" s="2" t="s">
        <v>17</v>
      </c>
      <c r="E67" s="2" t="s">
        <v>18</v>
      </c>
      <c r="F67" s="2">
        <v>8</v>
      </c>
      <c r="G67" s="4">
        <v>2550</v>
      </c>
      <c r="H67" s="12">
        <f t="shared" si="3"/>
        <v>20400</v>
      </c>
      <c r="I67" s="5">
        <v>0.15</v>
      </c>
      <c r="J67" s="10">
        <f t="shared" si="4"/>
        <v>17340</v>
      </c>
      <c r="K67" s="2" t="str">
        <f t="shared" si="5"/>
        <v>Low</v>
      </c>
      <c r="L67" s="4" t="s">
        <v>127</v>
      </c>
      <c r="M67" s="4"/>
      <c r="N67" s="4"/>
    </row>
    <row r="68" spans="1:14" x14ac:dyDescent="0.3">
      <c r="A68" s="2" t="s">
        <v>89</v>
      </c>
      <c r="B68" s="3">
        <v>46089</v>
      </c>
      <c r="C68" s="2" t="s">
        <v>12</v>
      </c>
      <c r="D68" s="2" t="s">
        <v>13</v>
      </c>
      <c r="E68" s="2" t="s">
        <v>21</v>
      </c>
      <c r="F68" s="2">
        <v>2</v>
      </c>
      <c r="G68" s="4">
        <v>52500</v>
      </c>
      <c r="H68" s="12">
        <f t="shared" si="3"/>
        <v>105000</v>
      </c>
      <c r="I68" s="5">
        <v>0.1</v>
      </c>
      <c r="J68" s="10">
        <f t="shared" si="4"/>
        <v>94500</v>
      </c>
      <c r="K68" s="2" t="str">
        <f t="shared" si="5"/>
        <v>High</v>
      </c>
      <c r="L68" s="4" t="s">
        <v>126</v>
      </c>
      <c r="M68" s="4"/>
      <c r="N68" s="4"/>
    </row>
    <row r="69" spans="1:14" x14ac:dyDescent="0.3">
      <c r="A69" s="2" t="s">
        <v>90</v>
      </c>
      <c r="B69" s="3">
        <v>46090</v>
      </c>
      <c r="C69" s="2" t="s">
        <v>16</v>
      </c>
      <c r="D69" s="2" t="s">
        <v>17</v>
      </c>
      <c r="E69" s="2" t="s">
        <v>24</v>
      </c>
      <c r="F69" s="2">
        <v>5</v>
      </c>
      <c r="G69" s="4">
        <v>790</v>
      </c>
      <c r="H69" s="12">
        <f t="shared" si="3"/>
        <v>3950</v>
      </c>
      <c r="I69" s="5">
        <v>0.05</v>
      </c>
      <c r="J69" s="10">
        <f t="shared" si="4"/>
        <v>3752.5</v>
      </c>
      <c r="K69" s="2" t="str">
        <f t="shared" si="5"/>
        <v>Low</v>
      </c>
      <c r="L69" s="4" t="s">
        <v>127</v>
      </c>
      <c r="M69" s="4"/>
      <c r="N69" s="4"/>
    </row>
    <row r="70" spans="1:14" x14ac:dyDescent="0.3">
      <c r="A70" s="2" t="s">
        <v>91</v>
      </c>
      <c r="B70" s="3">
        <v>46091</v>
      </c>
      <c r="C70" s="2" t="s">
        <v>20</v>
      </c>
      <c r="D70" s="2" t="s">
        <v>17</v>
      </c>
      <c r="E70" s="2" t="s">
        <v>14</v>
      </c>
      <c r="F70" s="2">
        <v>7</v>
      </c>
      <c r="G70" s="4">
        <v>1350</v>
      </c>
      <c r="H70" s="12">
        <f t="shared" si="3"/>
        <v>9450</v>
      </c>
      <c r="I70" s="5">
        <v>0.1</v>
      </c>
      <c r="J70" s="10">
        <f t="shared" si="4"/>
        <v>8505</v>
      </c>
      <c r="K70" s="2" t="str">
        <f t="shared" si="5"/>
        <v>Low</v>
      </c>
      <c r="L70" s="4" t="s">
        <v>127</v>
      </c>
      <c r="M70" s="4"/>
      <c r="N70" s="4"/>
    </row>
    <row r="71" spans="1:14" x14ac:dyDescent="0.3">
      <c r="A71" s="2" t="s">
        <v>92</v>
      </c>
      <c r="B71" s="3">
        <v>46092</v>
      </c>
      <c r="C71" s="2" t="s">
        <v>23</v>
      </c>
      <c r="D71" s="2" t="s">
        <v>13</v>
      </c>
      <c r="E71" s="2" t="s">
        <v>18</v>
      </c>
      <c r="F71" s="2">
        <v>3</v>
      </c>
      <c r="G71" s="4">
        <v>11700</v>
      </c>
      <c r="H71" s="12">
        <f t="shared" si="3"/>
        <v>35100</v>
      </c>
      <c r="I71" s="5">
        <v>0.05</v>
      </c>
      <c r="J71" s="10">
        <f t="shared" si="4"/>
        <v>33345</v>
      </c>
      <c r="K71" s="2" t="str">
        <f t="shared" si="5"/>
        <v>Medium</v>
      </c>
      <c r="L71" s="4" t="s">
        <v>128</v>
      </c>
      <c r="M71" s="4"/>
      <c r="N71" s="4"/>
    </row>
    <row r="72" spans="1:14" x14ac:dyDescent="0.3">
      <c r="A72" s="2" t="s">
        <v>93</v>
      </c>
      <c r="B72" s="3">
        <v>46093</v>
      </c>
      <c r="C72" s="2" t="s">
        <v>26</v>
      </c>
      <c r="D72" s="2" t="s">
        <v>13</v>
      </c>
      <c r="E72" s="2" t="s">
        <v>21</v>
      </c>
      <c r="F72" s="2">
        <v>2</v>
      </c>
      <c r="G72" s="4">
        <v>15400</v>
      </c>
      <c r="H72" s="12">
        <f t="shared" si="3"/>
        <v>30800</v>
      </c>
      <c r="I72" s="5">
        <v>0.1</v>
      </c>
      <c r="J72" s="10">
        <f t="shared" si="4"/>
        <v>27720</v>
      </c>
      <c r="K72" s="2" t="str">
        <f t="shared" si="5"/>
        <v>Medium</v>
      </c>
      <c r="L72" s="4" t="s">
        <v>127</v>
      </c>
      <c r="M72" s="4"/>
      <c r="N72" s="4"/>
    </row>
    <row r="73" spans="1:14" x14ac:dyDescent="0.3">
      <c r="A73" s="2" t="s">
        <v>94</v>
      </c>
      <c r="B73" s="3">
        <v>46094</v>
      </c>
      <c r="C73" s="2" t="s">
        <v>28</v>
      </c>
      <c r="D73" s="2" t="s">
        <v>17</v>
      </c>
      <c r="E73" s="2" t="s">
        <v>24</v>
      </c>
      <c r="F73" s="2">
        <v>6</v>
      </c>
      <c r="G73" s="4">
        <v>2450</v>
      </c>
      <c r="H73" s="12">
        <f t="shared" si="3"/>
        <v>14700</v>
      </c>
      <c r="I73" s="5">
        <v>0.05</v>
      </c>
      <c r="J73" s="10">
        <f t="shared" si="4"/>
        <v>13965</v>
      </c>
      <c r="K73" s="2" t="str">
        <f t="shared" si="5"/>
        <v>Low</v>
      </c>
      <c r="L73" s="4" t="s">
        <v>127</v>
      </c>
      <c r="M73" s="4"/>
      <c r="N73" s="4"/>
    </row>
    <row r="74" spans="1:14" x14ac:dyDescent="0.3">
      <c r="A74" s="2" t="s">
        <v>95</v>
      </c>
      <c r="B74" s="3">
        <v>46095</v>
      </c>
      <c r="C74" s="2" t="s">
        <v>12</v>
      </c>
      <c r="D74" s="2" t="s">
        <v>13</v>
      </c>
      <c r="E74" s="2" t="s">
        <v>14</v>
      </c>
      <c r="F74" s="2">
        <v>1</v>
      </c>
      <c r="G74" s="4">
        <v>59000</v>
      </c>
      <c r="H74" s="12">
        <f t="shared" si="3"/>
        <v>59000</v>
      </c>
      <c r="I74" s="5">
        <v>0.15</v>
      </c>
      <c r="J74" s="10">
        <f t="shared" si="4"/>
        <v>50150</v>
      </c>
      <c r="K74" s="2" t="str">
        <f t="shared" si="5"/>
        <v>High</v>
      </c>
      <c r="L74" s="4" t="s">
        <v>126</v>
      </c>
      <c r="M74" s="4"/>
      <c r="N74" s="4"/>
    </row>
    <row r="75" spans="1:14" x14ac:dyDescent="0.3">
      <c r="A75" s="2" t="s">
        <v>96</v>
      </c>
      <c r="B75" s="3">
        <v>46096</v>
      </c>
      <c r="C75" s="2" t="s">
        <v>16</v>
      </c>
      <c r="D75" s="2" t="s">
        <v>17</v>
      </c>
      <c r="E75" s="2" t="s">
        <v>18</v>
      </c>
      <c r="F75" s="2">
        <v>9</v>
      </c>
      <c r="G75" s="4">
        <v>840</v>
      </c>
      <c r="H75" s="12">
        <f t="shared" si="3"/>
        <v>7560</v>
      </c>
      <c r="I75" s="5">
        <v>0.1</v>
      </c>
      <c r="J75" s="10">
        <f t="shared" si="4"/>
        <v>6804</v>
      </c>
      <c r="K75" s="2" t="str">
        <f t="shared" si="5"/>
        <v>Low</v>
      </c>
      <c r="L75" s="4" t="s">
        <v>127</v>
      </c>
      <c r="M75" s="4"/>
      <c r="N75" s="4"/>
    </row>
    <row r="76" spans="1:14" x14ac:dyDescent="0.3">
      <c r="A76" s="2" t="s">
        <v>97</v>
      </c>
      <c r="B76" s="3">
        <v>46097</v>
      </c>
      <c r="C76" s="2" t="s">
        <v>20</v>
      </c>
      <c r="D76" s="2" t="s">
        <v>17</v>
      </c>
      <c r="E76" s="2" t="s">
        <v>21</v>
      </c>
      <c r="F76" s="2">
        <v>3</v>
      </c>
      <c r="G76" s="4">
        <v>1650</v>
      </c>
      <c r="H76" s="12">
        <f t="shared" si="3"/>
        <v>4950</v>
      </c>
      <c r="I76" s="5">
        <v>0.05</v>
      </c>
      <c r="J76" s="10">
        <f t="shared" si="4"/>
        <v>4702.5</v>
      </c>
      <c r="K76" s="2" t="str">
        <f t="shared" si="5"/>
        <v>Low</v>
      </c>
      <c r="L76" s="4" t="s">
        <v>127</v>
      </c>
      <c r="M76" s="4"/>
      <c r="N76" s="4"/>
    </row>
    <row r="77" spans="1:14" x14ac:dyDescent="0.3">
      <c r="A77" s="2" t="s">
        <v>98</v>
      </c>
      <c r="B77" s="3">
        <v>46098</v>
      </c>
      <c r="C77" s="2" t="s">
        <v>23</v>
      </c>
      <c r="D77" s="2" t="s">
        <v>13</v>
      </c>
      <c r="E77" s="2" t="s">
        <v>24</v>
      </c>
      <c r="F77" s="2">
        <v>2</v>
      </c>
      <c r="G77" s="4">
        <v>12400</v>
      </c>
      <c r="H77" s="12">
        <f t="shared" si="3"/>
        <v>24800</v>
      </c>
      <c r="I77" s="5">
        <v>0.1</v>
      </c>
      <c r="J77" s="10">
        <f t="shared" si="4"/>
        <v>22320</v>
      </c>
      <c r="K77" s="2" t="str">
        <f t="shared" si="5"/>
        <v>Low</v>
      </c>
      <c r="L77" s="4" t="s">
        <v>127</v>
      </c>
      <c r="M77" s="4"/>
      <c r="N77" s="4"/>
    </row>
    <row r="78" spans="1:14" x14ac:dyDescent="0.3">
      <c r="A78" s="2" t="s">
        <v>99</v>
      </c>
      <c r="B78" s="3">
        <v>46099</v>
      </c>
      <c r="C78" s="2" t="s">
        <v>26</v>
      </c>
      <c r="D78" s="2" t="s">
        <v>13</v>
      </c>
      <c r="E78" s="2" t="s">
        <v>14</v>
      </c>
      <c r="F78" s="2">
        <v>3</v>
      </c>
      <c r="G78" s="4">
        <v>14700</v>
      </c>
      <c r="H78" s="12">
        <f t="shared" si="3"/>
        <v>44100</v>
      </c>
      <c r="I78" s="5">
        <v>0.05</v>
      </c>
      <c r="J78" s="10">
        <f t="shared" si="4"/>
        <v>41895</v>
      </c>
      <c r="K78" s="2" t="str">
        <f t="shared" si="5"/>
        <v>Medium</v>
      </c>
      <c r="L78" s="4" t="s">
        <v>128</v>
      </c>
      <c r="M78" s="4"/>
      <c r="N78" s="4"/>
    </row>
    <row r="79" spans="1:14" x14ac:dyDescent="0.3">
      <c r="A79" s="2" t="s">
        <v>100</v>
      </c>
      <c r="B79" s="3">
        <v>46100</v>
      </c>
      <c r="C79" s="2" t="s">
        <v>28</v>
      </c>
      <c r="D79" s="2" t="s">
        <v>17</v>
      </c>
      <c r="E79" s="2" t="s">
        <v>18</v>
      </c>
      <c r="F79" s="2">
        <v>5</v>
      </c>
      <c r="G79" s="4">
        <v>2850</v>
      </c>
      <c r="H79" s="12">
        <f t="shared" si="3"/>
        <v>14250</v>
      </c>
      <c r="I79" s="5">
        <v>0.15</v>
      </c>
      <c r="J79" s="10">
        <f t="shared" si="4"/>
        <v>12112.5</v>
      </c>
      <c r="K79" s="2" t="str">
        <f t="shared" si="5"/>
        <v>Low</v>
      </c>
      <c r="L79" s="4" t="s">
        <v>127</v>
      </c>
      <c r="M79" s="4"/>
      <c r="N79" s="4"/>
    </row>
    <row r="80" spans="1:14" x14ac:dyDescent="0.3">
      <c r="A80" s="2" t="s">
        <v>101</v>
      </c>
      <c r="B80" s="3">
        <v>46101</v>
      </c>
      <c r="C80" s="2" t="s">
        <v>12</v>
      </c>
      <c r="D80" s="2" t="s">
        <v>13</v>
      </c>
      <c r="E80" s="2" t="s">
        <v>21</v>
      </c>
      <c r="F80" s="2">
        <v>2</v>
      </c>
      <c r="G80" s="4">
        <v>50500</v>
      </c>
      <c r="H80" s="12">
        <f t="shared" si="3"/>
        <v>101000</v>
      </c>
      <c r="I80" s="5">
        <v>0.1</v>
      </c>
      <c r="J80" s="10">
        <f t="shared" si="4"/>
        <v>90900</v>
      </c>
      <c r="K80" s="2" t="str">
        <f t="shared" si="5"/>
        <v>High</v>
      </c>
      <c r="L80" s="4" t="s">
        <v>126</v>
      </c>
      <c r="M80" s="4"/>
      <c r="N80" s="4"/>
    </row>
    <row r="81" spans="1:14" x14ac:dyDescent="0.3">
      <c r="A81" s="2" t="s">
        <v>102</v>
      </c>
      <c r="B81" s="3">
        <v>46102</v>
      </c>
      <c r="C81" s="2" t="s">
        <v>16</v>
      </c>
      <c r="D81" s="2" t="s">
        <v>17</v>
      </c>
      <c r="E81" s="2" t="s">
        <v>24</v>
      </c>
      <c r="F81" s="2">
        <v>8</v>
      </c>
      <c r="G81" s="4">
        <v>760</v>
      </c>
      <c r="H81" s="12">
        <f t="shared" si="3"/>
        <v>6080</v>
      </c>
      <c r="I81" s="5">
        <v>0.05</v>
      </c>
      <c r="J81" s="10">
        <f t="shared" si="4"/>
        <v>5776</v>
      </c>
      <c r="K81" s="2" t="str">
        <f t="shared" si="5"/>
        <v>Low</v>
      </c>
      <c r="L81" s="4" t="s">
        <v>127</v>
      </c>
      <c r="M81" s="4"/>
      <c r="N81" s="4"/>
    </row>
    <row r="82" spans="1:14" x14ac:dyDescent="0.3">
      <c r="A82" s="2" t="s">
        <v>103</v>
      </c>
      <c r="B82" s="3">
        <v>46103</v>
      </c>
      <c r="C82" s="2" t="s">
        <v>20</v>
      </c>
      <c r="D82" s="2" t="s">
        <v>17</v>
      </c>
      <c r="E82" s="2" t="s">
        <v>14</v>
      </c>
      <c r="F82" s="2">
        <v>4</v>
      </c>
      <c r="G82" s="4">
        <v>1450</v>
      </c>
      <c r="H82" s="12">
        <f t="shared" si="3"/>
        <v>5800</v>
      </c>
      <c r="I82" s="5">
        <v>0.1</v>
      </c>
      <c r="J82" s="10">
        <f t="shared" si="4"/>
        <v>5220</v>
      </c>
      <c r="K82" s="2" t="str">
        <f t="shared" si="5"/>
        <v>Low</v>
      </c>
      <c r="L82" s="4" t="s">
        <v>127</v>
      </c>
      <c r="M82" s="4"/>
      <c r="N82" s="4"/>
    </row>
    <row r="83" spans="1:14" x14ac:dyDescent="0.3">
      <c r="A83" s="2" t="s">
        <v>104</v>
      </c>
      <c r="B83" s="3">
        <v>46104</v>
      </c>
      <c r="C83" s="2" t="s">
        <v>23</v>
      </c>
      <c r="D83" s="2" t="s">
        <v>13</v>
      </c>
      <c r="E83" s="2" t="s">
        <v>18</v>
      </c>
      <c r="F83" s="2">
        <v>1</v>
      </c>
      <c r="G83" s="4">
        <v>13200</v>
      </c>
      <c r="H83" s="12">
        <f t="shared" si="3"/>
        <v>13200</v>
      </c>
      <c r="I83" s="5">
        <v>0.05</v>
      </c>
      <c r="J83" s="10">
        <f t="shared" si="4"/>
        <v>12540</v>
      </c>
      <c r="K83" s="2" t="str">
        <f t="shared" si="5"/>
        <v>Low</v>
      </c>
      <c r="L83" s="4" t="s">
        <v>127</v>
      </c>
      <c r="M83" s="4"/>
      <c r="N83" s="4"/>
    </row>
    <row r="84" spans="1:14" x14ac:dyDescent="0.3">
      <c r="A84" s="2" t="s">
        <v>105</v>
      </c>
      <c r="B84" s="3">
        <v>46105</v>
      </c>
      <c r="C84" s="2" t="s">
        <v>26</v>
      </c>
      <c r="D84" s="2" t="s">
        <v>13</v>
      </c>
      <c r="E84" s="2" t="s">
        <v>21</v>
      </c>
      <c r="F84" s="2">
        <v>2</v>
      </c>
      <c r="G84" s="4">
        <v>15100</v>
      </c>
      <c r="H84" s="12">
        <f t="shared" si="3"/>
        <v>30200</v>
      </c>
      <c r="I84" s="5">
        <v>0.1</v>
      </c>
      <c r="J84" s="10">
        <f t="shared" si="4"/>
        <v>27180</v>
      </c>
      <c r="K84" s="2" t="str">
        <f t="shared" si="5"/>
        <v>Medium</v>
      </c>
      <c r="L84" s="4" t="s">
        <v>127</v>
      </c>
      <c r="M84" s="4"/>
      <c r="N84" s="4"/>
    </row>
    <row r="85" spans="1:14" x14ac:dyDescent="0.3">
      <c r="A85" s="2" t="s">
        <v>106</v>
      </c>
      <c r="B85" s="3">
        <v>46106</v>
      </c>
      <c r="C85" s="2" t="s">
        <v>28</v>
      </c>
      <c r="D85" s="2" t="s">
        <v>17</v>
      </c>
      <c r="E85" s="2" t="s">
        <v>24</v>
      </c>
      <c r="F85" s="2">
        <v>7</v>
      </c>
      <c r="G85" s="4">
        <v>2650</v>
      </c>
      <c r="H85" s="12">
        <f t="shared" si="3"/>
        <v>18550</v>
      </c>
      <c r="I85" s="5">
        <v>0.05</v>
      </c>
      <c r="J85" s="10">
        <f t="shared" si="4"/>
        <v>17622.5</v>
      </c>
      <c r="K85" s="2" t="str">
        <f t="shared" si="5"/>
        <v>Low</v>
      </c>
      <c r="L85" s="4" t="s">
        <v>127</v>
      </c>
      <c r="M85" s="4"/>
      <c r="N85" s="4"/>
    </row>
    <row r="86" spans="1:14" x14ac:dyDescent="0.3">
      <c r="A86" s="2" t="s">
        <v>107</v>
      </c>
      <c r="B86" s="3">
        <v>46107</v>
      </c>
      <c r="C86" s="2" t="s">
        <v>12</v>
      </c>
      <c r="D86" s="2" t="s">
        <v>13</v>
      </c>
      <c r="E86" s="2" t="s">
        <v>14</v>
      </c>
      <c r="F86" s="2">
        <v>3</v>
      </c>
      <c r="G86" s="4">
        <v>51500</v>
      </c>
      <c r="H86" s="12">
        <f t="shared" si="3"/>
        <v>154500</v>
      </c>
      <c r="I86" s="5">
        <v>0.15</v>
      </c>
      <c r="J86" s="10">
        <f t="shared" si="4"/>
        <v>131325</v>
      </c>
      <c r="K86" s="2" t="str">
        <f t="shared" si="5"/>
        <v>High</v>
      </c>
      <c r="L86" s="4" t="s">
        <v>126</v>
      </c>
      <c r="M86" s="4"/>
      <c r="N86" s="4"/>
    </row>
    <row r="87" spans="1:14" x14ac:dyDescent="0.3">
      <c r="A87" s="2" t="s">
        <v>108</v>
      </c>
      <c r="B87" s="3">
        <v>46108</v>
      </c>
      <c r="C87" s="2" t="s">
        <v>16</v>
      </c>
      <c r="D87" s="2" t="s">
        <v>17</v>
      </c>
      <c r="E87" s="2" t="s">
        <v>18</v>
      </c>
      <c r="F87" s="2">
        <v>6</v>
      </c>
      <c r="G87" s="4">
        <v>830</v>
      </c>
      <c r="H87" s="12">
        <f t="shared" si="3"/>
        <v>4980</v>
      </c>
      <c r="I87" s="5">
        <v>0.1</v>
      </c>
      <c r="J87" s="10">
        <f t="shared" si="4"/>
        <v>4482</v>
      </c>
      <c r="K87" s="2" t="str">
        <f t="shared" si="5"/>
        <v>Low</v>
      </c>
      <c r="L87" s="4" t="s">
        <v>127</v>
      </c>
      <c r="M87" s="4"/>
      <c r="N87" s="4"/>
    </row>
    <row r="88" spans="1:14" x14ac:dyDescent="0.3">
      <c r="A88" s="2" t="s">
        <v>109</v>
      </c>
      <c r="B88" s="3">
        <v>46109</v>
      </c>
      <c r="C88" s="2" t="s">
        <v>20</v>
      </c>
      <c r="D88" s="2" t="s">
        <v>17</v>
      </c>
      <c r="E88" s="2" t="s">
        <v>21</v>
      </c>
      <c r="F88" s="2">
        <v>5</v>
      </c>
      <c r="G88" s="4">
        <v>1380</v>
      </c>
      <c r="H88" s="12">
        <f t="shared" si="3"/>
        <v>6900</v>
      </c>
      <c r="I88" s="5">
        <v>0.05</v>
      </c>
      <c r="J88" s="10">
        <f t="shared" si="4"/>
        <v>6555</v>
      </c>
      <c r="K88" s="2" t="str">
        <f t="shared" si="5"/>
        <v>Low</v>
      </c>
      <c r="L88" s="4" t="s">
        <v>127</v>
      </c>
      <c r="M88" s="4"/>
      <c r="N88" s="4"/>
    </row>
    <row r="89" spans="1:14" x14ac:dyDescent="0.3">
      <c r="A89" s="2" t="s">
        <v>110</v>
      </c>
      <c r="B89" s="3">
        <v>46110</v>
      </c>
      <c r="C89" s="2" t="s">
        <v>23</v>
      </c>
      <c r="D89" s="2" t="s">
        <v>13</v>
      </c>
      <c r="E89" s="2" t="s">
        <v>24</v>
      </c>
      <c r="F89" s="2">
        <v>2</v>
      </c>
      <c r="G89" s="4">
        <v>12600</v>
      </c>
      <c r="H89" s="12">
        <f t="shared" si="3"/>
        <v>25200</v>
      </c>
      <c r="I89" s="5">
        <v>0.1</v>
      </c>
      <c r="J89" s="10">
        <f t="shared" si="4"/>
        <v>22680</v>
      </c>
      <c r="K89" s="2" t="str">
        <f t="shared" si="5"/>
        <v>Low</v>
      </c>
      <c r="L89" s="4" t="s">
        <v>127</v>
      </c>
      <c r="M89" s="4"/>
      <c r="N89" s="4"/>
    </row>
    <row r="90" spans="1:14" x14ac:dyDescent="0.3">
      <c r="A90" s="2" t="s">
        <v>111</v>
      </c>
      <c r="B90" s="3">
        <v>46111</v>
      </c>
      <c r="C90" s="2" t="s">
        <v>26</v>
      </c>
      <c r="D90" s="2" t="s">
        <v>13</v>
      </c>
      <c r="E90" s="2" t="s">
        <v>14</v>
      </c>
      <c r="F90" s="2">
        <v>1</v>
      </c>
      <c r="G90" s="4">
        <v>15900</v>
      </c>
      <c r="H90" s="12">
        <f t="shared" si="3"/>
        <v>15900</v>
      </c>
      <c r="I90" s="5">
        <v>0.05</v>
      </c>
      <c r="J90" s="10">
        <f t="shared" si="4"/>
        <v>15105</v>
      </c>
      <c r="K90" s="2" t="str">
        <f t="shared" si="5"/>
        <v>Low</v>
      </c>
      <c r="L90" s="4" t="s">
        <v>127</v>
      </c>
      <c r="M90" s="4"/>
      <c r="N90" s="4"/>
    </row>
    <row r="91" spans="1:14" x14ac:dyDescent="0.3">
      <c r="A91" s="2" t="s">
        <v>112</v>
      </c>
      <c r="B91" s="3">
        <v>46112</v>
      </c>
      <c r="C91" s="2" t="s">
        <v>28</v>
      </c>
      <c r="D91" s="2" t="s">
        <v>17</v>
      </c>
      <c r="E91" s="2" t="s">
        <v>18</v>
      </c>
      <c r="F91" s="2">
        <v>4</v>
      </c>
      <c r="G91" s="4">
        <v>2950</v>
      </c>
      <c r="H91" s="12">
        <f t="shared" si="3"/>
        <v>11800</v>
      </c>
      <c r="I91" s="5">
        <v>0.15</v>
      </c>
      <c r="J91" s="10">
        <f t="shared" si="4"/>
        <v>10030</v>
      </c>
      <c r="K91" s="2" t="str">
        <f t="shared" si="5"/>
        <v>Low</v>
      </c>
      <c r="L91" s="4" t="s">
        <v>127</v>
      </c>
      <c r="M91" s="4"/>
      <c r="N91" s="4"/>
    </row>
    <row r="92" spans="1:14" x14ac:dyDescent="0.3">
      <c r="A92" s="2" t="s">
        <v>113</v>
      </c>
      <c r="B92" s="3">
        <v>46113</v>
      </c>
      <c r="C92" s="2" t="s">
        <v>12</v>
      </c>
      <c r="D92" s="2" t="s">
        <v>13</v>
      </c>
      <c r="E92" s="2" t="s">
        <v>21</v>
      </c>
      <c r="F92" s="2">
        <v>2</v>
      </c>
      <c r="G92" s="4">
        <v>53500</v>
      </c>
      <c r="H92" s="12">
        <f t="shared" si="3"/>
        <v>107000</v>
      </c>
      <c r="I92" s="5">
        <v>0.1</v>
      </c>
      <c r="J92" s="10">
        <f t="shared" si="4"/>
        <v>96300</v>
      </c>
      <c r="K92" s="2" t="str">
        <f t="shared" si="5"/>
        <v>High</v>
      </c>
      <c r="L92" s="4" t="s">
        <v>126</v>
      </c>
      <c r="M92" s="4"/>
      <c r="N92" s="4"/>
    </row>
    <row r="93" spans="1:14" x14ac:dyDescent="0.3">
      <c r="A93" s="2" t="s">
        <v>114</v>
      </c>
      <c r="B93" s="3">
        <v>46114</v>
      </c>
      <c r="C93" s="2" t="s">
        <v>16</v>
      </c>
      <c r="D93" s="2" t="s">
        <v>17</v>
      </c>
      <c r="E93" s="2" t="s">
        <v>24</v>
      </c>
      <c r="F93" s="2">
        <v>10</v>
      </c>
      <c r="G93" s="4">
        <v>810</v>
      </c>
      <c r="H93" s="12">
        <f t="shared" si="3"/>
        <v>8100</v>
      </c>
      <c r="I93" s="5">
        <v>0.05</v>
      </c>
      <c r="J93" s="10">
        <f t="shared" si="4"/>
        <v>7695</v>
      </c>
      <c r="K93" s="2" t="str">
        <f t="shared" si="5"/>
        <v>Low</v>
      </c>
      <c r="L93" s="4" t="s">
        <v>127</v>
      </c>
      <c r="M93" s="4"/>
      <c r="N93" s="4"/>
    </row>
    <row r="94" spans="1:14" x14ac:dyDescent="0.3">
      <c r="A94" s="2" t="s">
        <v>115</v>
      </c>
      <c r="B94" s="3">
        <v>46115</v>
      </c>
      <c r="C94" s="2" t="s">
        <v>20</v>
      </c>
      <c r="D94" s="2" t="s">
        <v>17</v>
      </c>
      <c r="E94" s="2" t="s">
        <v>14</v>
      </c>
      <c r="F94" s="2">
        <v>6</v>
      </c>
      <c r="G94" s="4">
        <v>1520</v>
      </c>
      <c r="H94" s="12">
        <f t="shared" si="3"/>
        <v>9120</v>
      </c>
      <c r="I94" s="5">
        <v>0.1</v>
      </c>
      <c r="J94" s="10">
        <f t="shared" si="4"/>
        <v>8208</v>
      </c>
      <c r="K94" s="2" t="str">
        <f t="shared" si="5"/>
        <v>Low</v>
      </c>
      <c r="L94" s="4" t="s">
        <v>127</v>
      </c>
      <c r="M94" s="4"/>
      <c r="N94" s="4"/>
    </row>
    <row r="95" spans="1:14" x14ac:dyDescent="0.3">
      <c r="A95" s="2" t="s">
        <v>116</v>
      </c>
      <c r="B95" s="3">
        <v>46116</v>
      </c>
      <c r="C95" s="2" t="s">
        <v>23</v>
      </c>
      <c r="D95" s="2" t="s">
        <v>13</v>
      </c>
      <c r="E95" s="2" t="s">
        <v>18</v>
      </c>
      <c r="F95" s="2">
        <v>3</v>
      </c>
      <c r="G95" s="4">
        <v>12000</v>
      </c>
      <c r="H95" s="12">
        <f t="shared" si="3"/>
        <v>36000</v>
      </c>
      <c r="I95" s="5">
        <v>0.05</v>
      </c>
      <c r="J95" s="10">
        <f t="shared" si="4"/>
        <v>34200</v>
      </c>
      <c r="K95" s="2" t="str">
        <f t="shared" si="5"/>
        <v>Medium</v>
      </c>
      <c r="L95" s="4" t="s">
        <v>128</v>
      </c>
      <c r="M95" s="4"/>
      <c r="N95" s="4"/>
    </row>
    <row r="96" spans="1:14" x14ac:dyDescent="0.3">
      <c r="A96" s="2" t="s">
        <v>117</v>
      </c>
      <c r="B96" s="3">
        <v>46117</v>
      </c>
      <c r="C96" s="2" t="s">
        <v>26</v>
      </c>
      <c r="D96" s="2" t="s">
        <v>13</v>
      </c>
      <c r="E96" s="2" t="s">
        <v>21</v>
      </c>
      <c r="F96" s="2">
        <v>2</v>
      </c>
      <c r="G96" s="4">
        <v>15600</v>
      </c>
      <c r="H96" s="12">
        <f t="shared" si="3"/>
        <v>31200</v>
      </c>
      <c r="I96" s="5">
        <v>0.1</v>
      </c>
      <c r="J96" s="10">
        <f t="shared" si="4"/>
        <v>28080</v>
      </c>
      <c r="K96" s="2" t="str">
        <f t="shared" si="5"/>
        <v>Medium</v>
      </c>
      <c r="L96" s="4" t="s">
        <v>127</v>
      </c>
      <c r="M96" s="4"/>
      <c r="N96" s="4"/>
    </row>
    <row r="97" spans="1:14" x14ac:dyDescent="0.3">
      <c r="A97" s="2" t="s">
        <v>118</v>
      </c>
      <c r="B97" s="3">
        <v>46118</v>
      </c>
      <c r="C97" s="2" t="s">
        <v>28</v>
      </c>
      <c r="D97" s="2" t="s">
        <v>17</v>
      </c>
      <c r="E97" s="2" t="s">
        <v>24</v>
      </c>
      <c r="F97" s="2">
        <v>5</v>
      </c>
      <c r="G97" s="4">
        <v>2750</v>
      </c>
      <c r="H97" s="12">
        <f t="shared" si="3"/>
        <v>13750</v>
      </c>
      <c r="I97" s="5">
        <v>0.05</v>
      </c>
      <c r="J97" s="10">
        <f t="shared" si="4"/>
        <v>13062.5</v>
      </c>
      <c r="K97" s="2" t="str">
        <f t="shared" si="5"/>
        <v>Low</v>
      </c>
      <c r="L97" s="4" t="s">
        <v>127</v>
      </c>
      <c r="M97" s="4"/>
      <c r="N97" s="4"/>
    </row>
    <row r="98" spans="1:14" x14ac:dyDescent="0.3">
      <c r="A98" s="2" t="s">
        <v>119</v>
      </c>
      <c r="B98" s="3">
        <v>46119</v>
      </c>
      <c r="C98" s="2" t="s">
        <v>12</v>
      </c>
      <c r="D98" s="2" t="s">
        <v>13</v>
      </c>
      <c r="E98" s="2" t="s">
        <v>14</v>
      </c>
      <c r="F98" s="2">
        <v>1</v>
      </c>
      <c r="G98" s="4">
        <v>61000</v>
      </c>
      <c r="H98" s="12">
        <f t="shared" si="3"/>
        <v>61000</v>
      </c>
      <c r="I98" s="5">
        <v>0.15</v>
      </c>
      <c r="J98" s="10">
        <f t="shared" si="4"/>
        <v>51850</v>
      </c>
      <c r="K98" s="2" t="str">
        <f t="shared" si="5"/>
        <v>High</v>
      </c>
      <c r="L98" s="4" t="s">
        <v>126</v>
      </c>
      <c r="M98" s="4"/>
      <c r="N98" s="4"/>
    </row>
    <row r="99" spans="1:14" x14ac:dyDescent="0.3">
      <c r="A99" s="2" t="s">
        <v>120</v>
      </c>
      <c r="B99" s="3">
        <v>46120</v>
      </c>
      <c r="C99" s="2" t="s">
        <v>16</v>
      </c>
      <c r="D99" s="2" t="s">
        <v>17</v>
      </c>
      <c r="E99" s="2" t="s">
        <v>18</v>
      </c>
      <c r="F99" s="2">
        <v>7</v>
      </c>
      <c r="G99" s="4">
        <v>850</v>
      </c>
      <c r="H99" s="12">
        <f t="shared" si="3"/>
        <v>5950</v>
      </c>
      <c r="I99" s="5">
        <v>0.1</v>
      </c>
      <c r="J99" s="10">
        <f t="shared" si="4"/>
        <v>5355</v>
      </c>
      <c r="K99" s="2" t="str">
        <f t="shared" si="5"/>
        <v>Low</v>
      </c>
      <c r="L99" s="4" t="s">
        <v>127</v>
      </c>
      <c r="M99" s="4"/>
      <c r="N99" s="4"/>
    </row>
    <row r="100" spans="1:14" x14ac:dyDescent="0.3">
      <c r="A100" s="2" t="s">
        <v>121</v>
      </c>
      <c r="B100" s="3">
        <v>46121</v>
      </c>
      <c r="C100" s="2" t="s">
        <v>20</v>
      </c>
      <c r="D100" s="2" t="s">
        <v>17</v>
      </c>
      <c r="E100" s="2" t="s">
        <v>21</v>
      </c>
      <c r="F100" s="2">
        <v>4</v>
      </c>
      <c r="G100" s="4">
        <v>1480</v>
      </c>
      <c r="H100" s="12">
        <f t="shared" si="3"/>
        <v>5920</v>
      </c>
      <c r="I100" s="5">
        <v>0.05</v>
      </c>
      <c r="J100" s="10">
        <f t="shared" si="4"/>
        <v>5624</v>
      </c>
      <c r="K100" s="2" t="str">
        <f t="shared" si="5"/>
        <v>Low</v>
      </c>
      <c r="L100" s="4" t="s">
        <v>127</v>
      </c>
      <c r="M100" s="4"/>
      <c r="N100" s="4"/>
    </row>
    <row r="101" spans="1:14" x14ac:dyDescent="0.3">
      <c r="A101" s="2" t="s">
        <v>122</v>
      </c>
      <c r="B101" s="3">
        <v>46122</v>
      </c>
      <c r="C101" s="2" t="s">
        <v>23</v>
      </c>
      <c r="D101" s="2" t="s">
        <v>13</v>
      </c>
      <c r="E101" s="2" t="s">
        <v>24</v>
      </c>
      <c r="F101" s="2">
        <v>2</v>
      </c>
      <c r="G101" s="4">
        <v>12900</v>
      </c>
      <c r="H101" s="12">
        <f t="shared" si="3"/>
        <v>25800</v>
      </c>
      <c r="I101" s="5">
        <v>0.1</v>
      </c>
      <c r="J101" s="10">
        <f t="shared" si="4"/>
        <v>23220</v>
      </c>
      <c r="K101" s="2" t="str">
        <f t="shared" si="5"/>
        <v>Low</v>
      </c>
      <c r="L101" s="4" t="s">
        <v>127</v>
      </c>
      <c r="M101" s="4"/>
      <c r="N101" s="4"/>
    </row>
    <row r="102" spans="1:14" x14ac:dyDescent="0.3">
      <c r="B102" s="3"/>
      <c r="G102" s="4"/>
      <c r="I102" s="5"/>
      <c r="J102" s="4"/>
      <c r="L102" s="4"/>
    </row>
    <row r="103" spans="1:14" x14ac:dyDescent="0.3">
      <c r="B103" s="3"/>
      <c r="G103" s="4"/>
      <c r="I103" s="5"/>
      <c r="J103" s="4"/>
      <c r="L103" s="4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Region_by_sales</vt:lpstr>
      <vt:lpstr>TOP5</vt:lpstr>
      <vt:lpstr>monthy_sales</vt:lpstr>
      <vt:lpstr>DASHBOARD</vt:lpstr>
      <vt:lpstr>CATEGORY BY SALES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SHIVA KUMAR</cp:lastModifiedBy>
  <dcterms:created xsi:type="dcterms:W3CDTF">2026-08-11T06:58:54Z</dcterms:created>
  <dcterms:modified xsi:type="dcterms:W3CDTF">2026-08-12T04:08:43Z</dcterms:modified>
</cp:coreProperties>
</file>